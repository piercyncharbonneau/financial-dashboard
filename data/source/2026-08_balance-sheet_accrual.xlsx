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4" i="1" l="1"/>
</calcChain>
</file>

<file path=xl/sharedStrings.xml><?xml version="1.0" encoding="utf-8"?>
<sst xmlns="http://schemas.openxmlformats.org/spreadsheetml/2006/main" count="95" uniqueCount="95">
  <si>
    <t>Hoodz of Kansas City</t>
  </si>
  <si>
    <t>Balance Sheet</t>
  </si>
  <si>
    <t>As of Aug 31, 2026</t>
  </si>
  <si>
    <t>Assets</t>
  </si>
  <si>
    <t>Current Assets</t>
  </si>
  <si>
    <t>Bank Accounts</t>
  </si>
  <si>
    <t>1000 Chase Checking</t>
  </si>
  <si>
    <t>1001 Future CAPEX - Trucks &amp; Equipment</t>
  </si>
  <si>
    <t>1002 Income</t>
  </si>
  <si>
    <t>1003 Lance's Note</t>
  </si>
  <si>
    <t>1004 OPEX</t>
  </si>
  <si>
    <t>1005 Owner Distributions</t>
  </si>
  <si>
    <t>1006 Profit and Cash Buffer</t>
  </si>
  <si>
    <t>1007 Royalties</t>
  </si>
  <si>
    <t>1008 Salaries and Wages</t>
  </si>
  <si>
    <t>1010 Petty Cash</t>
  </si>
  <si>
    <t>1011 SBA</t>
  </si>
  <si>
    <t>1012 CC Payment Account</t>
  </si>
  <si>
    <t>1029 Sales Clearing</t>
  </si>
  <si>
    <t>Total for Bank Accounts</t>
  </si>
  <si>
    <t>Accounts Receivable</t>
  </si>
  <si>
    <t>1050 Accounts Receivable</t>
  </si>
  <si>
    <t>Total for Accounts Receivable</t>
  </si>
  <si>
    <t>Other Current Assets</t>
  </si>
  <si>
    <t>1125 Security Deposits</t>
  </si>
  <si>
    <t>1150 Undeposited Funds</t>
  </si>
  <si>
    <t>1155 Uncategorized Asset</t>
  </si>
  <si>
    <t>Total for Other Current Assets</t>
  </si>
  <si>
    <t>Total for Current Assets</t>
  </si>
  <si>
    <t>Fixed Assets</t>
  </si>
  <si>
    <t>1200 Equipment</t>
  </si>
  <si>
    <t>1202 Equipment Accum Depreciation</t>
  </si>
  <si>
    <t>Total for 1200 Equipment</t>
  </si>
  <si>
    <t>1250 Vehicles</t>
  </si>
  <si>
    <t>1252 Vehicles Accum Depreciation</t>
  </si>
  <si>
    <t>1253 Vehicle Lease Down Payment</t>
  </si>
  <si>
    <t>Original cost</t>
  </si>
  <si>
    <t>Total for 1253 Vehicle Lease Down Payment</t>
  </si>
  <si>
    <t>Total for 1250 Vehicles</t>
  </si>
  <si>
    <t>Total for Fixed Assets</t>
  </si>
  <si>
    <t>Other Assets</t>
  </si>
  <si>
    <t>1500 Franchise Fee</t>
  </si>
  <si>
    <t>1501 Franchise Fee Accum Amort</t>
  </si>
  <si>
    <t>1502 Franchise Fee Original Cost</t>
  </si>
  <si>
    <t>1503 Business Acquisition</t>
  </si>
  <si>
    <t>Total for 1500 Franchise Fee</t>
  </si>
  <si>
    <t>1600 Start-Up Costs</t>
  </si>
  <si>
    <t>1601 Start-Up Costs Original Costs</t>
  </si>
  <si>
    <t>1602 Start-Up Costs Accum Amort</t>
  </si>
  <si>
    <t>Total for 1600 Start-Up Costs</t>
  </si>
  <si>
    <t>1700 Goodwill</t>
  </si>
  <si>
    <t>1701 Accumulated Amortization Goodwill</t>
  </si>
  <si>
    <t>Total for Other Assets</t>
  </si>
  <si>
    <t>Total for Assets</t>
  </si>
  <si>
    <t>Liabilities and Equity</t>
  </si>
  <si>
    <t>Liabilities</t>
  </si>
  <si>
    <t>Current Liabilities</t>
  </si>
  <si>
    <t>Accounts Payable</t>
  </si>
  <si>
    <t>2050 Accounts Payable</t>
  </si>
  <si>
    <t>Total for Accounts Payable</t>
  </si>
  <si>
    <t>Credit Cards</t>
  </si>
  <si>
    <t>2000 Amex Credit Card x1005</t>
  </si>
  <si>
    <t>Total for Credit Cards</t>
  </si>
  <si>
    <t>Other Current Liabilities</t>
  </si>
  <si>
    <t>2100 Payroll Liabilities</t>
  </si>
  <si>
    <t>Total for Other Current Liabilities</t>
  </si>
  <si>
    <t>Total for Current Liabilities</t>
  </si>
  <si>
    <t>Long-term Liabilities</t>
  </si>
  <si>
    <t>2250 SBA Loan</t>
  </si>
  <si>
    <t>2251 SBA Loan Payable</t>
  </si>
  <si>
    <t>Total for 2250 SBA Loan</t>
  </si>
  <si>
    <t>2300 Owner Loan Payable</t>
  </si>
  <si>
    <t>2402 Loan from Charbonneau</t>
  </si>
  <si>
    <t>2402.1 Accrued Interest (Charbonneau)</t>
  </si>
  <si>
    <t>Total for 2402 Loan from Charbonneau</t>
  </si>
  <si>
    <t>Total for 2300 Owner Loan Payable</t>
  </si>
  <si>
    <t>2325 Promissory Note</t>
  </si>
  <si>
    <t>Total for Long-term Liabilities</t>
  </si>
  <si>
    <t>Total for Liabilities</t>
  </si>
  <si>
    <t>Equity</t>
  </si>
  <si>
    <t>3010 Owner's Investment</t>
  </si>
  <si>
    <t>3001 Charbonneau Capital</t>
  </si>
  <si>
    <t>3002 Luebben Capital</t>
  </si>
  <si>
    <t>3002.1 Brian Luebben Owner Draw</t>
  </si>
  <si>
    <t>3003 Sentry Ventures, LLC Capital</t>
  </si>
  <si>
    <t>3004 Carroll Capital</t>
  </si>
  <si>
    <t>3005 Giblin Capital</t>
  </si>
  <si>
    <t>Total for 3010 Owner's Investment</t>
  </si>
  <si>
    <t>3100 Retained Earnings</t>
  </si>
  <si>
    <t>Net Income</t>
  </si>
  <si>
    <t>Total for Equity</t>
  </si>
  <si>
    <t>Total for Liabilities and Equity</t>
  </si>
  <si>
    <t/>
  </si>
  <si>
    <t>Total</t>
  </si>
  <si>
    <t>Accrual Basis Wednesday, September 16, 2026 08:42 AM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</si>
</sst>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6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 indent="4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5"/>
    </xf>
    <xf numFmtId="0" fontId="5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98"/>
  <sheetViews>
    <sheetView tabSelected="1" workbookViewId="0" topLeftCell="A1"/>
  </sheetViews>
  <sheetFormatPr defaultColWidth="11.255" defaultRowHeight="16"/>
  <cols>
    <col min="1" max="1" width="35.875" style="52" customWidth="1"/>
    <col min="2" max="2" width="17" style="52" customWidth="1"/>
  </cols>
  <sheetData>
    <row r="1" spans="1:1" ht="16">
      <c r="A1" s="37" t="s">
        <v>0</v>
      </c>
    </row>
    <row r="2" spans="1:1" ht="16">
      <c r="A2" s="38" t="s">
        <v>1</v>
      </c>
    </row>
    <row r="3" spans="1:1" ht="16">
      <c r="A3" s="39" t="s">
        <v>2</v>
      </c>
    </row>
    <row r="5" spans="1:2" ht="16">
      <c r="A5" s="54" t="s">
        <v>92</v>
      </c>
      <c r="B5" s="59" t="s">
        <v>93</v>
      </c>
    </row>
    <row r="6" spans="1:1" ht="16">
      <c r="A6" s="41" t="s">
        <v>3</v>
      </c>
    </row>
    <row r="7" spans="1:1" ht="16">
      <c r="A7" s="42" t="s">
        <v>4</v>
      </c>
    </row>
    <row r="8" spans="1:1" ht="16">
      <c r="A8" s="43" t="s">
        <v>5</v>
      </c>
    </row>
    <row r="9" spans="1:2" ht="16">
      <c r="A9" s="44" t="s">
        <v>6</v>
      </c>
      <c r="B9" s="55">
        <v>-27.32</v>
      </c>
    </row>
    <row r="10" spans="1:2" ht="16">
      <c r="A10" s="44" t="s">
        <v>7</v>
      </c>
      <c r="B10" s="55">
        <v>0</v>
      </c>
    </row>
    <row r="11" spans="1:2" ht="16">
      <c r="A11" s="44" t="s">
        <v>8</v>
      </c>
      <c r="B11" s="55">
        <v>22619.14</v>
      </c>
    </row>
    <row r="12" spans="1:2" ht="16">
      <c r="A12" s="44" t="s">
        <v>9</v>
      </c>
      <c r="B12" s="55">
        <v>9804.95</v>
      </c>
    </row>
    <row r="13" spans="1:2" ht="16">
      <c r="A13" s="44" t="s">
        <v>10</v>
      </c>
      <c r="B13" s="55">
        <v>988.08</v>
      </c>
    </row>
    <row r="14" spans="1:2" ht="16">
      <c r="A14" s="44" t="s">
        <v>11</v>
      </c>
      <c r="B14" s="55">
        <v>4000.0</v>
      </c>
    </row>
    <row r="15" spans="1:2" ht="16">
      <c r="A15" s="44" t="s">
        <v>12</v>
      </c>
      <c r="B15" s="55">
        <v>1371.06</v>
      </c>
    </row>
    <row r="16" spans="1:2" ht="16">
      <c r="A16" s="44" t="s">
        <v>13</v>
      </c>
      <c r="B16" s="55">
        <v>7387.09</v>
      </c>
    </row>
    <row r="17" spans="1:2" ht="16">
      <c r="A17" s="44" t="s">
        <v>14</v>
      </c>
      <c r="B17" s="55">
        <v>5843.22</v>
      </c>
    </row>
    <row r="18" spans="1:2" ht="16">
      <c r="A18" s="44" t="s">
        <v>15</v>
      </c>
      <c r="B18" s="55">
        <v>0</v>
      </c>
    </row>
    <row r="19" spans="1:2" ht="16">
      <c r="A19" s="44" t="s">
        <v>16</v>
      </c>
      <c r="B19" s="55">
        <v>10999.56</v>
      </c>
    </row>
    <row r="20" spans="1:2" ht="16">
      <c r="A20" s="44" t="s">
        <v>17</v>
      </c>
      <c r="B20" s="55">
        <v>822.63</v>
      </c>
    </row>
    <row r="21" spans="1:2" ht="16">
      <c r="A21" s="44" t="s">
        <v>18</v>
      </c>
      <c r="B21" s="55">
        <v>0</v>
      </c>
    </row>
    <row r="22" spans="1:2" ht="16">
      <c r="A22" s="45" t="s">
        <v>19</v>
      </c>
      <c r="B22" s="56">
        <f>B8+B9+B10+B11+B12+B13+B14+B15+B16+B17+B18+B19+B20+B21</f>
        <v>63808.409999999996</v>
      </c>
    </row>
    <row r="23" spans="1:1" ht="16">
      <c r="A23" s="43" t="s">
        <v>20</v>
      </c>
    </row>
    <row r="24" spans="1:2" ht="16">
      <c r="A24" s="44" t="s">
        <v>21</v>
      </c>
      <c r="B24" s="55">
        <v>155223.82</v>
      </c>
    </row>
    <row r="25" spans="1:2" ht="16">
      <c r="A25" s="45" t="s">
        <v>22</v>
      </c>
      <c r="B25" s="56">
        <f>B23+B24</f>
        <v>155223.82</v>
      </c>
    </row>
    <row r="26" spans="1:1" ht="16">
      <c r="A26" s="43" t="s">
        <v>23</v>
      </c>
    </row>
    <row r="27" spans="1:2" ht="16">
      <c r="A27" s="44" t="s">
        <v>24</v>
      </c>
      <c r="B27" s="55">
        <v>2500.0</v>
      </c>
    </row>
    <row r="28" spans="1:2" ht="16">
      <c r="A28" s="44" t="s">
        <v>25</v>
      </c>
      <c r="B28" s="57">
        <v>0</v>
      </c>
    </row>
    <row r="29" spans="1:2" ht="16">
      <c r="A29" s="44" t="s">
        <v>26</v>
      </c>
      <c r="B29" s="57">
        <v>0</v>
      </c>
    </row>
    <row r="30" spans="1:2" ht="16">
      <c r="A30" s="45" t="s">
        <v>27</v>
      </c>
      <c r="B30" s="56">
        <f>B26+B27+B28+B29</f>
        <v>2500.0</v>
      </c>
    </row>
    <row r="31" spans="1:2" ht="16">
      <c r="A31" s="46" t="s">
        <v>28</v>
      </c>
      <c r="B31" s="56">
        <f>B7+B22+B25+B30</f>
        <v>221532.23</v>
      </c>
    </row>
    <row r="32" spans="1:1" ht="16">
      <c r="A32" s="42" t="s">
        <v>29</v>
      </c>
    </row>
    <row r="33" spans="1:2" ht="16">
      <c r="A33" s="43" t="s">
        <v>30</v>
      </c>
      <c r="B33" s="55">
        <v>20680.0</v>
      </c>
    </row>
    <row r="34" spans="1:2" ht="16">
      <c r="A34" s="44" t="s">
        <v>31</v>
      </c>
      <c r="B34" s="55">
        <v>-5056.0</v>
      </c>
    </row>
    <row r="35" spans="1:2" ht="16">
      <c r="A35" s="45" t="s">
        <v>32</v>
      </c>
      <c r="B35" s="56">
        <f>B33+B34</f>
        <v>15624.0</v>
      </c>
    </row>
    <row r="36" spans="1:2" ht="16">
      <c r="A36" s="43" t="s">
        <v>33</v>
      </c>
      <c r="B36" s="55">
        <v>152905.0</v>
      </c>
    </row>
    <row r="37" spans="1:2" ht="16">
      <c r="A37" s="44" t="s">
        <v>34</v>
      </c>
      <c r="B37" s="55">
        <v>-132820.0</v>
      </c>
    </row>
    <row r="38" spans="1:2" ht="16">
      <c r="A38" s="44" t="s">
        <v>35</v>
      </c>
      <c r="B38" s="55">
        <v>2722.22</v>
      </c>
    </row>
    <row r="39" spans="1:2" ht="16">
      <c r="A39" s="47" t="s">
        <v>36</v>
      </c>
      <c r="B39" s="55">
        <v>219.94</v>
      </c>
    </row>
    <row r="40" spans="1:2" ht="16">
      <c r="A40" s="48" t="s">
        <v>37</v>
      </c>
      <c r="B40" s="56">
        <f>B38+B39</f>
        <v>2942.16</v>
      </c>
    </row>
    <row r="41" spans="1:2" ht="16">
      <c r="A41" s="45" t="s">
        <v>38</v>
      </c>
      <c r="B41" s="56">
        <f>B36+B37+B40</f>
        <v>23027.16</v>
      </c>
    </row>
    <row r="42" spans="1:2" ht="16">
      <c r="A42" s="46" t="s">
        <v>39</v>
      </c>
      <c r="B42" s="56">
        <f>B32+B35+B41</f>
        <v>38651.16</v>
      </c>
    </row>
    <row r="43" spans="1:1" ht="16">
      <c r="A43" s="42" t="s">
        <v>40</v>
      </c>
    </row>
    <row r="44" spans="1:2" ht="16">
      <c r="A44" s="43" t="s">
        <v>41</v>
      </c>
      <c r="B44" s="58"/>
    </row>
    <row r="45" spans="1:2" ht="16">
      <c r="A45" s="44" t="s">
        <v>42</v>
      </c>
      <c r="B45" s="55">
        <v>-63111.0</v>
      </c>
    </row>
    <row r="46" spans="1:2" ht="16">
      <c r="A46" s="44" t="s">
        <v>43</v>
      </c>
      <c r="B46" s="55">
        <v>710000.0</v>
      </c>
    </row>
    <row r="47" spans="1:2" ht="16">
      <c r="A47" s="44" t="s">
        <v>44</v>
      </c>
      <c r="B47" s="57">
        <v>0</v>
      </c>
    </row>
    <row r="48" spans="1:2" ht="16">
      <c r="A48" s="45" t="s">
        <v>45</v>
      </c>
      <c r="B48" s="56">
        <f>B44+B45+B46+B47</f>
        <v>646889.0</v>
      </c>
    </row>
    <row r="49" spans="1:2" ht="16">
      <c r="A49" s="43" t="s">
        <v>46</v>
      </c>
      <c r="B49" s="55">
        <v>7000.0</v>
      </c>
    </row>
    <row r="50" spans="1:2" ht="16">
      <c r="A50" s="44" t="s">
        <v>47</v>
      </c>
      <c r="B50" s="55">
        <v>39635.5</v>
      </c>
    </row>
    <row r="51" spans="1:2" ht="16">
      <c r="A51" s="44" t="s">
        <v>48</v>
      </c>
      <c r="B51" s="55">
        <v>-6906.0</v>
      </c>
    </row>
    <row r="52" spans="1:2" ht="16">
      <c r="A52" s="45" t="s">
        <v>49</v>
      </c>
      <c r="B52" s="56">
        <f>B49+B50+B51</f>
        <v>39729.5</v>
      </c>
    </row>
    <row r="53" spans="1:2" ht="16">
      <c r="A53" s="43" t="s">
        <v>50</v>
      </c>
      <c r="B53" s="55">
        <v>706615.0</v>
      </c>
    </row>
    <row r="54" spans="1:2" ht="16">
      <c r="A54" s="43" t="s">
        <v>51</v>
      </c>
      <c r="B54" s="55">
        <v>-31405.0</v>
      </c>
    </row>
    <row r="55" spans="1:2" ht="16">
      <c r="A55" s="46" t="s">
        <v>52</v>
      </c>
      <c r="B55" s="56">
        <f>B43+B48+B52+B53+B54</f>
        <v>1361828.5</v>
      </c>
    </row>
    <row r="56" spans="1:2" ht="16">
      <c r="A56" s="49" t="s">
        <v>53</v>
      </c>
      <c r="B56" s="56">
        <f>B6+B31+B42+B55</f>
        <v>1622011.8900000001</v>
      </c>
    </row>
    <row r="57" spans="1:1" ht="16">
      <c r="A57" s="41" t="s">
        <v>54</v>
      </c>
    </row>
    <row r="58" spans="1:1" ht="16">
      <c r="A58" s="42" t="s">
        <v>55</v>
      </c>
    </row>
    <row r="59" spans="1:1" ht="16">
      <c r="A59" s="43" t="s">
        <v>56</v>
      </c>
    </row>
    <row r="60" spans="1:1" ht="16">
      <c r="A60" s="44" t="s">
        <v>57</v>
      </c>
    </row>
    <row r="61" spans="1:2" ht="16">
      <c r="A61" s="47" t="s">
        <v>58</v>
      </c>
      <c r="B61" s="57">
        <v>0</v>
      </c>
    </row>
    <row r="62" spans="1:2" ht="16">
      <c r="A62" s="48" t="s">
        <v>59</v>
      </c>
      <c r="B62" s="56">
        <f>B60+B61</f>
        <v>0.0</v>
      </c>
    </row>
    <row r="63" spans="1:1" ht="16">
      <c r="A63" s="44" t="s">
        <v>60</v>
      </c>
    </row>
    <row r="64" spans="1:2" ht="16">
      <c r="A64" s="47" t="s">
        <v>61</v>
      </c>
      <c r="B64" s="55">
        <v>86228.9</v>
      </c>
    </row>
    <row r="65" spans="1:2" ht="16">
      <c r="A65" s="48" t="s">
        <v>62</v>
      </c>
      <c r="B65" s="56">
        <f>B63+B64</f>
        <v>86228.9</v>
      </c>
    </row>
    <row r="66" spans="1:1" ht="16">
      <c r="A66" s="44" t="s">
        <v>63</v>
      </c>
    </row>
    <row r="67" spans="1:2" ht="16">
      <c r="A67" s="47" t="s">
        <v>64</v>
      </c>
      <c r="B67" s="55">
        <v>652.63</v>
      </c>
    </row>
    <row r="68" spans="1:2" ht="16">
      <c r="A68" s="48" t="s">
        <v>65</v>
      </c>
      <c r="B68" s="56">
        <f>B66+B67</f>
        <v>652.63</v>
      </c>
    </row>
    <row r="69" spans="1:2" ht="16">
      <c r="A69" s="45" t="s">
        <v>66</v>
      </c>
      <c r="B69" s="56">
        <f>B59+B62+B65+B68</f>
        <v>86881.53</v>
      </c>
    </row>
    <row r="70" spans="1:1" ht="16">
      <c r="A70" s="43" t="s">
        <v>67</v>
      </c>
    </row>
    <row r="71" spans="1:2" ht="16">
      <c r="A71" s="44" t="s">
        <v>68</v>
      </c>
      <c r="B71" s="55">
        <v>705915.76</v>
      </c>
    </row>
    <row r="72" spans="1:2" ht="16">
      <c r="A72" s="47" t="s">
        <v>69</v>
      </c>
      <c r="B72" s="55">
        <v>-28789.38</v>
      </c>
    </row>
    <row r="73" spans="1:2" ht="16">
      <c r="A73" s="48" t="s">
        <v>70</v>
      </c>
      <c r="B73" s="56">
        <f>B71+B72</f>
        <v>677126.38</v>
      </c>
    </row>
    <row r="74" spans="1:2" ht="16">
      <c r="A74" s="44" t="s">
        <v>71</v>
      </c>
      <c r="B74" s="58"/>
    </row>
    <row r="75" spans="1:2" ht="16">
      <c r="A75" s="47" t="s">
        <v>72</v>
      </c>
      <c r="B75" s="55">
        <v>32738.93</v>
      </c>
    </row>
    <row r="76" spans="1:2" ht="16">
      <c r="A76" s="50" t="s">
        <v>73</v>
      </c>
      <c r="B76" s="55">
        <v>566.18</v>
      </c>
    </row>
    <row r="77" spans="1:2" ht="16">
      <c r="A77" s="51" t="s">
        <v>74</v>
      </c>
      <c r="B77" s="56">
        <f>B75+B76</f>
        <v>33305.11</v>
      </c>
    </row>
    <row r="78" spans="1:2" ht="16">
      <c r="A78" s="48" t="s">
        <v>75</v>
      </c>
      <c r="B78" s="56">
        <f>B74+B77</f>
        <v>33305.11</v>
      </c>
    </row>
    <row r="79" spans="1:2" ht="16">
      <c r="A79" s="44" t="s">
        <v>76</v>
      </c>
      <c r="B79" s="55">
        <v>772596.01</v>
      </c>
    </row>
    <row r="80" spans="1:2" ht="16">
      <c r="A80" s="45" t="s">
        <v>77</v>
      </c>
      <c r="B80" s="56">
        <f>B70+B73+B78+B79</f>
        <v>1483027.5</v>
      </c>
    </row>
    <row r="81" spans="1:2" ht="16">
      <c r="A81" s="46" t="s">
        <v>78</v>
      </c>
      <c r="B81" s="56">
        <f>B58+B69+B80</f>
        <v>1569909.03</v>
      </c>
    </row>
    <row r="82" spans="1:1" ht="16">
      <c r="A82" s="42" t="s">
        <v>79</v>
      </c>
    </row>
    <row r="83" spans="1:2" ht="16">
      <c r="A83" s="43" t="s">
        <v>80</v>
      </c>
      <c r="B83" s="57">
        <v>0</v>
      </c>
    </row>
    <row r="84" spans="1:2" ht="16">
      <c r="A84" s="44" t="s">
        <v>81</v>
      </c>
      <c r="B84" s="55">
        <v>-116817.42</v>
      </c>
    </row>
    <row r="85" spans="1:2" ht="16">
      <c r="A85" s="44" t="s">
        <v>82</v>
      </c>
      <c r="B85" s="55">
        <v>141156.77</v>
      </c>
    </row>
    <row r="86" spans="1:2" ht="16">
      <c r="A86" s="44" t="s">
        <v>83</v>
      </c>
      <c r="B86" s="55">
        <v>-91900.0</v>
      </c>
    </row>
    <row r="87" spans="1:2" ht="16">
      <c r="A87" s="44" t="s">
        <v>84</v>
      </c>
      <c r="B87" s="55">
        <v>18128.38</v>
      </c>
    </row>
    <row r="88" spans="1:2" ht="16">
      <c r="A88" s="44" t="s">
        <v>85</v>
      </c>
      <c r="B88" s="55">
        <v>45000.0</v>
      </c>
    </row>
    <row r="89" spans="1:2" ht="16">
      <c r="A89" s="44" t="s">
        <v>86</v>
      </c>
      <c r="B89" s="55">
        <v>45000.0</v>
      </c>
    </row>
    <row r="90" spans="1:2" ht="16">
      <c r="A90" s="45" t="s">
        <v>87</v>
      </c>
      <c r="B90" s="56">
        <f>B83+B84+B85+B86+B87+B88+B89</f>
        <v>40567.729999999996</v>
      </c>
    </row>
    <row r="91" spans="1:2" ht="16">
      <c r="A91" s="43" t="s">
        <v>88</v>
      </c>
      <c r="B91" s="55">
        <v>-20580.699999999895</v>
      </c>
    </row>
    <row r="92" spans="1:2" ht="16">
      <c r="A92" s="43" t="s">
        <v>89</v>
      </c>
      <c r="B92" s="55">
        <v>32115.830000000118</v>
      </c>
    </row>
    <row r="93" spans="1:2" ht="16">
      <c r="A93" s="46" t="s">
        <v>90</v>
      </c>
      <c r="B93" s="56">
        <f>B82+B90+B91+B92</f>
        <v>52102.86000000022</v>
      </c>
    </row>
    <row r="94" spans="1:2" ht="16">
      <c r="A94" s="49" t="s">
        <v>91</v>
      </c>
      <c r="B94" s="56">
        <f>B57+B81+B93</f>
        <v>1622011.8900000001</v>
      </c>
    </row>
    <row r="98" spans="1:1" ht="16">
      <c r="A98" s="60" t="s">
        <v>94</v>
      </c>
    </row>
  </sheetData>
  <mergeCells count="4">
    <mergeCell ref="A1:B1"/>
    <mergeCell ref="A2:B2"/>
    <mergeCell ref="A3:B3"/>
    <mergeCell ref="A98:B9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