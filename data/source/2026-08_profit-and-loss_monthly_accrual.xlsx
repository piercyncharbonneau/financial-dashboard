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40" i="1" l="1"/>
</calcChain>
</file>

<file path=xl/sharedStrings.xml><?xml version="1.0" encoding="utf-8"?>
<sst xmlns="http://schemas.openxmlformats.org/spreadsheetml/2006/main" count="149" uniqueCount="149">
  <si>
    <t>Hoodz of Kansas City</t>
  </si>
  <si>
    <t>Profit and Loss</t>
  </si>
  <si>
    <t>January-August, 2026</t>
  </si>
  <si>
    <t>Income</t>
  </si>
  <si>
    <t>4000 Sales</t>
  </si>
  <si>
    <t>4002 Services &amp; Fees</t>
  </si>
  <si>
    <t>4003 Hood System Cleaning</t>
  </si>
  <si>
    <t>4004 Hood System Inspection</t>
  </si>
  <si>
    <t>4005 Hood System Repair</t>
  </si>
  <si>
    <t>4011 Oven Cleaning &amp; Repair</t>
  </si>
  <si>
    <t>4013 Surface Cleaning</t>
  </si>
  <si>
    <t>4016 Other Services</t>
  </si>
  <si>
    <t>4060 Fees</t>
  </si>
  <si>
    <t>Total for 4002 Services &amp; Fees</t>
  </si>
  <si>
    <t>4020 Products &amp; Parts</t>
  </si>
  <si>
    <t>4030 Grease Containment</t>
  </si>
  <si>
    <t>4031 Grease Containment System</t>
  </si>
  <si>
    <t>4032 Grease Containment Pillows</t>
  </si>
  <si>
    <t>Total for 4030 Grease Containment</t>
  </si>
  <si>
    <t>4040 Parts</t>
  </si>
  <si>
    <t>4043 Exhaust Fan Hinges</t>
  </si>
  <si>
    <t>4045 Other Parts &amp; Supplies</t>
  </si>
  <si>
    <t>4048 Baffle-Type Hood Filters</t>
  </si>
  <si>
    <t>Total for 4040 Parts</t>
  </si>
  <si>
    <t>Total for 4020 Products &amp; Parts</t>
  </si>
  <si>
    <t>4070 Discounts</t>
  </si>
  <si>
    <t>Total for 4000 Sales</t>
  </si>
  <si>
    <t>Sales of Product Income</t>
  </si>
  <si>
    <t>Total for Income</t>
  </si>
  <si>
    <t>Cost of Goods Sold</t>
  </si>
  <si>
    <t>5000 Job Supplies &amp; Materials</t>
  </si>
  <si>
    <t>5009 Consumables &amp; Small Tools</t>
  </si>
  <si>
    <t>5001 Chemicals</t>
  </si>
  <si>
    <t>5002 Consumable Job Supplies</t>
  </si>
  <si>
    <t>5003 Equipment Repairs &amp; Maintenance</t>
  </si>
  <si>
    <t>5004 Small Job Tools</t>
  </si>
  <si>
    <t>Total for 5009 Consumables &amp; Small Tools</t>
  </si>
  <si>
    <t>5010 Grease Containment (COGS)</t>
  </si>
  <si>
    <t>5020 Parts &amp; Supply Cost</t>
  </si>
  <si>
    <t>5025 Filter Inventory</t>
  </si>
  <si>
    <t>5027 PCU Type Filters</t>
  </si>
  <si>
    <t>Total for 5025 Filter Inventory</t>
  </si>
  <si>
    <t>5035 Soak Tank</t>
  </si>
  <si>
    <t>5037 Soak Tank Chemicals</t>
  </si>
  <si>
    <t>Total for 5035 Soak Tank</t>
  </si>
  <si>
    <t>Total for 5020 Parts &amp; Supply Cost</t>
  </si>
  <si>
    <t>Total for 5000 Job Supplies &amp; Materials</t>
  </si>
  <si>
    <t>5030 Other Job Related Expenses</t>
  </si>
  <si>
    <t>5050 Direct Rental - Equip/Machinery</t>
  </si>
  <si>
    <t>5060 Direct Personnel Cost</t>
  </si>
  <si>
    <t>5061 Technician Labor</t>
  </si>
  <si>
    <t>5063 Technician Employer Payroll Tax</t>
  </si>
  <si>
    <t>5065 Subcontractor</t>
  </si>
  <si>
    <t>Total for 5060 Direct Personnel Cost</t>
  </si>
  <si>
    <t>5070 Direct Transportation Cost</t>
  </si>
  <si>
    <t>5071 Direct Fuel Expense</t>
  </si>
  <si>
    <t>5074 Direct Meal (50%)</t>
  </si>
  <si>
    <t>5076 Direct Expense Parking &amp; Tolls</t>
  </si>
  <si>
    <t>Total for 5070 Direct Transportation Cost</t>
  </si>
  <si>
    <t>5080 Credit Card Processing Fees</t>
  </si>
  <si>
    <t>5100 Royalty</t>
  </si>
  <si>
    <t>Total for Cost of Goods Sold</t>
  </si>
  <si>
    <t>Gross Profit</t>
  </si>
  <si>
    <t>Expenses</t>
  </si>
  <si>
    <t>6000 Marketing and Sales</t>
  </si>
  <si>
    <t>6100 Marketing</t>
  </si>
  <si>
    <t>6102 Internet Advertising</t>
  </si>
  <si>
    <t>6106 Trade Shows</t>
  </si>
  <si>
    <t>6108 Print Advertising</t>
  </si>
  <si>
    <t>Total for 6100 Marketing</t>
  </si>
  <si>
    <t>Total for 6000 Marketing and Sales</t>
  </si>
  <si>
    <t>6400 General &amp; Administrative</t>
  </si>
  <si>
    <t>6410 Administrative Salary &amp; Benefits</t>
  </si>
  <si>
    <t>6414 Virtual Assistant</t>
  </si>
  <si>
    <t>Total for 6410 Administrative Salary &amp; Benefits</t>
  </si>
  <si>
    <t>6421 Travel Expense</t>
  </si>
  <si>
    <t>6422 Travel Meals</t>
  </si>
  <si>
    <t>Total for 6421 Travel Expense</t>
  </si>
  <si>
    <t>6430 Bank Charges and Fees</t>
  </si>
  <si>
    <t>6440 Bad Debt</t>
  </si>
  <si>
    <t>6460 Legal &amp; Professional Fees</t>
  </si>
  <si>
    <t>6461 Accounting</t>
  </si>
  <si>
    <t>6462 Legal</t>
  </si>
  <si>
    <t>Total for 6460 Legal &amp; Professional Fees</t>
  </si>
  <si>
    <t>6470 Office Expense</t>
  </si>
  <si>
    <t>6471 Office / Storage Rent</t>
  </si>
  <si>
    <t>6473 Office Supplies</t>
  </si>
  <si>
    <t>6474 Minor Office Equipment</t>
  </si>
  <si>
    <t>6475 Communications</t>
  </si>
  <si>
    <t>6476 Gas, Water, Electricity, Trash</t>
  </si>
  <si>
    <t>6477 Internet Expense</t>
  </si>
  <si>
    <t>6478 Software Fees</t>
  </si>
  <si>
    <t>Total for 6470 Office Expense</t>
  </si>
  <si>
    <t>6481 Payroll Processing Fees</t>
  </si>
  <si>
    <t>6490 Employee Related Expenses</t>
  </si>
  <si>
    <t>6492 Education &amp; Training</t>
  </si>
  <si>
    <t>6493 Uniforms &amp; Logoed Apparel</t>
  </si>
  <si>
    <t>6,493.10 Technician Uniforms</t>
  </si>
  <si>
    <t>Total for 6493 Uniforms &amp; Logoed Apparel</t>
  </si>
  <si>
    <t>6496 Employee Morale</t>
  </si>
  <si>
    <t>Total for 6490 Employee Related Expenses</t>
  </si>
  <si>
    <t>6500 Vehicle Expenses</t>
  </si>
  <si>
    <t>6501 Vehicle Lease</t>
  </si>
  <si>
    <t>6502 Vehicle Fuel</t>
  </si>
  <si>
    <t>6503 Vehicle Insurance</t>
  </si>
  <si>
    <t>6504 Vehicle Repairs &amp; Maintenance</t>
  </si>
  <si>
    <t>Total for 6500 Vehicle Expenses</t>
  </si>
  <si>
    <t>6510 Insurance</t>
  </si>
  <si>
    <t>6511 General Liability</t>
  </si>
  <si>
    <t>6515 Workers Comp</t>
  </si>
  <si>
    <t>Total for 6510 Insurance</t>
  </si>
  <si>
    <t>6530 Business Taxes &amp; Licenses</t>
  </si>
  <si>
    <t>6533 Licenses and Permits</t>
  </si>
  <si>
    <t>6534 Property Tax</t>
  </si>
  <si>
    <t>Total for 6530 Business Taxes &amp; Licenses</t>
  </si>
  <si>
    <t>6540 Dues &amp; Subscriptions</t>
  </si>
  <si>
    <t>6550 Tools &amp; Equipment</t>
  </si>
  <si>
    <t>Total for 6400 General &amp; Administrative</t>
  </si>
  <si>
    <t>Total for Expenses</t>
  </si>
  <si>
    <t>Net Operating Income</t>
  </si>
  <si>
    <t>Other Income</t>
  </si>
  <si>
    <t>7000 Other Income</t>
  </si>
  <si>
    <t>7010 Interest Income</t>
  </si>
  <si>
    <t>7040 Insurance Payout</t>
  </si>
  <si>
    <t>Total for 7000 Other Income</t>
  </si>
  <si>
    <t>Total for Other Income</t>
  </si>
  <si>
    <t>Other Expenses</t>
  </si>
  <si>
    <t>8000 Other Expense</t>
  </si>
  <si>
    <t>8010 Owner Payroll</t>
  </si>
  <si>
    <t>8011 Owner Wages</t>
  </si>
  <si>
    <t>8012 Owner Payroll Taxes</t>
  </si>
  <si>
    <t>8013 Owner Insurance</t>
  </si>
  <si>
    <t>Total for 8010 Owner Payroll</t>
  </si>
  <si>
    <t>8030 Interest Expense</t>
  </si>
  <si>
    <t>Total for 8000 Other Expense</t>
  </si>
  <si>
    <t>Total for Other Expenses</t>
  </si>
  <si>
    <t>Net Other Income</t>
  </si>
  <si>
    <t>Net Income</t>
  </si>
  <si>
    <t/>
  </si>
  <si>
    <t>Jan 2026</t>
  </si>
  <si>
    <t>Feb 2026</t>
  </si>
  <si>
    <t>Mar 2026</t>
  </si>
  <si>
    <t>Apr 2026</t>
  </si>
  <si>
    <t>May 2026</t>
  </si>
  <si>
    <t>Jun 2026</t>
  </si>
  <si>
    <t>Jul 2026</t>
  </si>
  <si>
    <t>Aug 2026</t>
  </si>
  <si>
    <t>Total</t>
  </si>
  <si>
    <t>Accrual Basis Wednesday, September 16, 2026 08:41 AM GMT-05:00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</si>
</sst>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&quot;$&quot;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57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178" fontId="0" fillId="0" borderId="0" xfId="0" applyNumberFormat="1"/>
    <xf numFmtId="178" fontId="3" fillId="0" borderId="0" xfId="0" applyNumberFormat="1" applyFont="1"/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0" fontId="0" fillId="0" borderId="0" xfId="0" applyAlignment="1">
      <alignment horizontal="left" indent="3"/>
    </xf>
    <xf numFmtId="0" fontId="3" fillId="0" borderId="0" xfId="0" applyFont="1" applyAlignment="1">
      <alignment horizontal="left" indent="3"/>
    </xf>
    <xf numFmtId="0" fontId="2" fillId="0" borderId="0" xfId="0" applyFont="1" applyAlignment="1">
      <alignment horizontal="left" indent="2"/>
    </xf>
    <xf numFmtId="0" fontId="5" fillId="0" borderId="0" xfId="0" applyFont="1" applyAlignment="1">
      <alignment horizontal="left" indent="2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5" fillId="0" borderId="2" xfId="0" applyNumberFormat="1" applyFont="1" applyBorder="1"/>
    <xf numFmtId="178" fontId="2" fillId="0" borderId="0" xfId="0" applyNumberFormat="1" applyFont="1"/>
    <xf numFmtId="178" fontId="2" fillId="0" borderId="2" xfId="0" applyNumberFormat="1" applyFont="1" applyBorder="1"/>
    <xf numFmtId="178" fontId="5" fillId="0" borderId="2" xfId="0" applyNumberFormat="1" applyFont="1" applyBorder="1"/>
    <xf numFmtId="0" fontId="0" fillId="0" borderId="0" xfId="0" applyAlignment="1">
      <alignment horizontal="left" indent="4"/>
    </xf>
    <xf numFmtId="0" fontId="3" fillId="0" borderId="0" xfId="0" applyFont="1" applyAlignment="1">
      <alignment horizontal="left" indent="4"/>
    </xf>
    <xf numFmtId="0" fontId="2" fillId="0" borderId="0" xfId="0" applyFont="1" applyAlignment="1">
      <alignment horizontal="left" indent="3"/>
    </xf>
    <xf numFmtId="0" fontId="5" fillId="0" borderId="0" xfId="0" applyFont="1" applyAlignment="1">
      <alignment horizontal="left" indent="3"/>
    </xf>
    <xf numFmtId="0" fontId="2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2" fillId="0" borderId="1" xfId="20">
      <alignment/>
      <protection/>
    </xf>
    <xf numFmtId="0" fontId="4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4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2"/>
    </xf>
    <xf numFmtId="0" fontId="3" fillId="0" borderId="0" xfId="0" applyFont="1" applyAlignment="1">
      <alignment horizontal="left" wrapText="1" indent="3"/>
    </xf>
    <xf numFmtId="0" fontId="5" fillId="0" borderId="0" xfId="0" applyFont="1" applyAlignment="1">
      <alignment horizontal="left" wrapText="1" indent="2"/>
    </xf>
    <xf numFmtId="0" fontId="3" fillId="0" borderId="0" xfId="0" applyFont="1" applyAlignment="1">
      <alignment horizontal="left" wrapText="1" indent="4"/>
    </xf>
    <xf numFmtId="0" fontId="5" fillId="0" borderId="0" xfId="0" applyFont="1" applyAlignment="1">
      <alignment horizontal="left" wrapText="1" indent="3"/>
    </xf>
    <xf numFmtId="0" fontId="5" fillId="0" borderId="0" xfId="0" applyFont="1" applyAlignment="1">
      <alignment horizontal="left" wrapText="1" indent="1"/>
    </xf>
    <xf numFmtId="0" fontId="5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4" fillId="0" borderId="1" xfId="20" applyFont="1" applyBorder="1" applyAlignment="1">
      <alignment wrapText="1"/>
      <protection/>
    </xf>
    <xf numFmtId="0" fontId="4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8" fontId="5" fillId="0" borderId="2" xfId="0" applyNumberFormat="1" applyFont="1" applyBorder="1" applyAlignment="1">
      <alignment wrapText="1"/>
    </xf>
    <xf numFmtId="177" fontId="5" fillId="0" borderId="2" xfId="0" applyNumberFormat="1" applyFont="1" applyBorder="1" applyAlignment="1">
      <alignment wrapText="1"/>
    </xf>
    <xf numFmtId="0" fontId="4" fillId="0" borderId="1" xfId="20" applyFont="1" applyAlignment="1">
      <alignment horizontal="center" wrapText="1"/>
      <protection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J144"/>
  <sheetViews>
    <sheetView tabSelected="1" workbookViewId="0" topLeftCell="A1"/>
  </sheetViews>
  <sheetFormatPr defaultColWidth="11.255" defaultRowHeight="16"/>
  <cols>
    <col min="1" max="1" width="41" style="48" customWidth="1"/>
    <col min="2" max="4" width="16.125" style="48" customWidth="1"/>
    <col min="5" max="5" width="17" style="48" customWidth="1"/>
    <col min="6" max="7" width="16.125" style="48" customWidth="1"/>
    <col min="8" max="10" width="17" style="48" customWidth="1"/>
  </cols>
  <sheetData>
    <row r="1" spans="1:1" ht="16">
      <c r="A1" s="35" t="s">
        <v>0</v>
      </c>
    </row>
    <row r="2" spans="1:1" ht="16">
      <c r="A2" s="36" t="s">
        <v>1</v>
      </c>
    </row>
    <row r="3" spans="1:1" ht="16">
      <c r="A3" s="37" t="s">
        <v>2</v>
      </c>
    </row>
    <row r="5" spans="1:10" ht="16">
      <c r="A5" s="50" t="s">
        <v>138</v>
      </c>
      <c r="B5" s="55" t="s">
        <v>139</v>
      </c>
      <c r="C5" s="55" t="s">
        <v>140</v>
      </c>
      <c r="D5" s="55" t="s">
        <v>141</v>
      </c>
      <c r="E5" s="55" t="s">
        <v>142</v>
      </c>
      <c r="F5" s="55" t="s">
        <v>143</v>
      </c>
      <c r="G5" s="55" t="s">
        <v>144</v>
      </c>
      <c r="H5" s="55" t="s">
        <v>145</v>
      </c>
      <c r="I5" s="55" t="s">
        <v>146</v>
      </c>
      <c r="J5" s="55" t="s">
        <v>147</v>
      </c>
    </row>
    <row r="6" spans="1:9" ht="16">
      <c r="A6" s="39" t="s">
        <v>3</v>
      </c>
      <c r="B6" s="51"/>
      <c r="C6" s="51"/>
      <c r="D6" s="51"/>
      <c r="E6" s="51"/>
      <c r="F6" s="51"/>
      <c r="G6" s="51"/>
      <c r="H6" s="51"/>
      <c r="I6" s="51"/>
    </row>
    <row r="7" spans="1:10" ht="16">
      <c r="A7" s="40" t="s">
        <v>4</v>
      </c>
      <c r="B7" s="52">
        <v>-2456.0</v>
      </c>
      <c r="C7" s="52">
        <v>35.0</v>
      </c>
      <c r="D7" s="51"/>
      <c r="E7" s="52">
        <v>22.0</v>
      </c>
      <c r="F7" s="52">
        <v>1145.19</v>
      </c>
      <c r="G7" s="52">
        <v>1104.0</v>
      </c>
      <c r="H7" s="52">
        <v>-307.0</v>
      </c>
      <c r="I7" s="52">
        <v>-1232.0</v>
      </c>
      <c r="J7" s="52">
        <f>B7+C7+D7+E7+F7+G7+H7+I7</f>
        <v>-1688.81</v>
      </c>
    </row>
    <row r="8" spans="1:10" ht="16">
      <c r="A8" s="41" t="s">
        <v>5</v>
      </c>
      <c r="B8" s="51"/>
      <c r="C8" s="51"/>
      <c r="D8" s="51"/>
      <c r="E8" s="51"/>
      <c r="F8" s="51"/>
      <c r="G8" s="51"/>
      <c r="H8" s="51"/>
      <c r="I8" s="51"/>
      <c r="J8" s="51"/>
    </row>
    <row r="9" spans="1:10" ht="16">
      <c r="A9" s="42" t="s">
        <v>6</v>
      </c>
      <c r="B9" s="52">
        <v>131822.2</v>
      </c>
      <c r="C9" s="52">
        <v>118320.41</v>
      </c>
      <c r="D9" s="52">
        <v>118865.26</v>
      </c>
      <c r="E9" s="52">
        <v>105548.26</v>
      </c>
      <c r="F9" s="52">
        <v>113478.75</v>
      </c>
      <c r="G9" s="52">
        <v>131281.36</v>
      </c>
      <c r="H9" s="52">
        <v>147537.26</v>
      </c>
      <c r="I9" s="52">
        <v>139557.26</v>
      </c>
      <c r="J9" s="52">
        <f>B9+C9+D9+E9+F9+G9+H9+I9</f>
        <v>1006410.76</v>
      </c>
    </row>
    <row r="10" spans="1:10" ht="16">
      <c r="A10" s="42" t="s">
        <v>7</v>
      </c>
      <c r="B10" s="51"/>
      <c r="C10" s="52">
        <v>50.0</v>
      </c>
      <c r="D10" s="52">
        <v>95.0</v>
      </c>
      <c r="E10" s="51"/>
      <c r="F10" s="52">
        <v>250.0</v>
      </c>
      <c r="G10" s="52">
        <v>100.0</v>
      </c>
      <c r="H10" s="52">
        <v>270.0</v>
      </c>
      <c r="I10" s="52">
        <v>1235.0</v>
      </c>
      <c r="J10" s="52">
        <f>B10+C10+D10+E10+F10+G10+H10+I10</f>
        <v>2000.0</v>
      </c>
    </row>
    <row r="11" spans="1:10" ht="16">
      <c r="A11" s="42" t="s">
        <v>8</v>
      </c>
      <c r="B11" s="51"/>
      <c r="C11" s="51"/>
      <c r="D11" s="51"/>
      <c r="E11" s="51"/>
      <c r="F11" s="51"/>
      <c r="G11" s="51"/>
      <c r="H11" s="52">
        <v>800.0</v>
      </c>
      <c r="I11" s="51"/>
      <c r="J11" s="52">
        <f>B11+C11+D11+E11+F11+G11+H11+I11</f>
        <v>800.0</v>
      </c>
    </row>
    <row r="12" spans="1:10" ht="16">
      <c r="A12" s="42" t="s">
        <v>9</v>
      </c>
      <c r="B12" s="52">
        <v>1575.0</v>
      </c>
      <c r="C12" s="52">
        <v>1882.0</v>
      </c>
      <c r="D12" s="52">
        <v>1950.0</v>
      </c>
      <c r="E12" s="52">
        <v>1300.0</v>
      </c>
      <c r="F12" s="52">
        <v>1875.0</v>
      </c>
      <c r="G12" s="52">
        <v>350.0</v>
      </c>
      <c r="H12" s="52">
        <v>1485.0</v>
      </c>
      <c r="I12" s="52">
        <v>1985.0</v>
      </c>
      <c r="J12" s="52">
        <f>B12+C12+D12+E12+F12+G12+H12+I12</f>
        <v>12402.0</v>
      </c>
    </row>
    <row r="13" spans="1:10" ht="16">
      <c r="A13" s="42" t="s">
        <v>10</v>
      </c>
      <c r="B13" s="52">
        <v>50.0</v>
      </c>
      <c r="C13" s="52">
        <v>50.0</v>
      </c>
      <c r="D13" s="51"/>
      <c r="E13" s="52">
        <v>50.0</v>
      </c>
      <c r="F13" s="52">
        <v>750.0</v>
      </c>
      <c r="G13" s="52">
        <v>0</v>
      </c>
      <c r="H13" s="52">
        <v>800.0</v>
      </c>
      <c r="I13" s="52">
        <v>150.0</v>
      </c>
      <c r="J13" s="52">
        <f>B13+C13+D13+E13+F13+G13+H13+I13</f>
        <v>1850.0</v>
      </c>
    </row>
    <row r="14" spans="1:10" ht="16">
      <c r="A14" s="42" t="s">
        <v>11</v>
      </c>
      <c r="B14" s="52">
        <v>6056.0</v>
      </c>
      <c r="C14" s="52">
        <v>5356.0</v>
      </c>
      <c r="D14" s="52">
        <v>4797.0</v>
      </c>
      <c r="E14" s="52">
        <v>6296.0</v>
      </c>
      <c r="F14" s="52">
        <v>5351.95</v>
      </c>
      <c r="G14" s="52">
        <v>6637.0</v>
      </c>
      <c r="H14" s="52">
        <v>8566.0</v>
      </c>
      <c r="I14" s="52">
        <v>7409.95</v>
      </c>
      <c r="J14" s="52">
        <f>B14+C14+D14+E14+F14+G14+H14+I14</f>
        <v>50469.899999999994</v>
      </c>
    </row>
    <row r="15" spans="1:10" ht="16">
      <c r="A15" s="42" t="s">
        <v>12</v>
      </c>
      <c r="B15" s="52">
        <v>1360.97</v>
      </c>
      <c r="C15" s="52">
        <v>3250.48</v>
      </c>
      <c r="D15" s="52">
        <v>1420.23</v>
      </c>
      <c r="E15" s="52">
        <v>846.95</v>
      </c>
      <c r="F15" s="52">
        <v>3595.69</v>
      </c>
      <c r="G15" s="52">
        <v>2036.88</v>
      </c>
      <c r="H15" s="52">
        <v>2922.72</v>
      </c>
      <c r="I15" s="52">
        <v>5213.06</v>
      </c>
      <c r="J15" s="52">
        <f>B15+C15+D15+E15+F15+G15+H15+I15</f>
        <v>20646.98</v>
      </c>
    </row>
    <row r="16" spans="1:10" ht="16">
      <c r="A16" s="43" t="s">
        <v>13</v>
      </c>
      <c r="B16" s="53">
        <f>B8+B9+B10+B11+B12+B13+B14+B15</f>
        <v>140864.17</v>
      </c>
      <c r="C16" s="53">
        <f>C8+C9+C10+C11+C12+C13+C14+C15</f>
        <v>128908.89</v>
      </c>
      <c r="D16" s="53">
        <f>D8+D9+D10+D11+D12+D13+D14+D15</f>
        <v>127127.48999999999</v>
      </c>
      <c r="E16" s="53">
        <f>E8+E9+E10+E11+E12+E13+E14+E15</f>
        <v>114041.20999999999</v>
      </c>
      <c r="F16" s="53">
        <f>F8+F9+F10+F11+F12+F13+F14+F15</f>
        <v>125301.39</v>
      </c>
      <c r="G16" s="53">
        <f>G8+G9+G10+G11+G12+G13+G14+G15</f>
        <v>140405.24</v>
      </c>
      <c r="H16" s="53">
        <f>H8+H9+H10+H11+H12+H13+H14+H15</f>
        <v>162380.98</v>
      </c>
      <c r="I16" s="53">
        <f>I8+I9+I10+I11+I12+I13+I14+I15</f>
        <v>155550.27000000002</v>
      </c>
      <c r="J16" s="54">
        <f>B16+C16+D16+E16+F16+G16+H16+I16</f>
        <v>1094579.6400000001</v>
      </c>
    </row>
    <row r="17" spans="1:10" ht="16">
      <c r="A17" s="41" t="s">
        <v>14</v>
      </c>
      <c r="B17" s="51"/>
      <c r="C17" s="51"/>
      <c r="D17" s="51"/>
      <c r="E17" s="51"/>
      <c r="F17" s="51"/>
      <c r="G17" s="51"/>
      <c r="H17" s="51"/>
      <c r="I17" s="51"/>
      <c r="J17" s="51"/>
    </row>
    <row r="18" spans="1:10" ht="16">
      <c r="A18" s="42" t="s">
        <v>15</v>
      </c>
      <c r="B18" s="51"/>
      <c r="C18" s="51"/>
      <c r="D18" s="51"/>
      <c r="E18" s="51"/>
      <c r="F18" s="51"/>
      <c r="G18" s="51"/>
      <c r="H18" s="51"/>
      <c r="I18" s="51"/>
      <c r="J18" s="51"/>
    </row>
    <row r="19" spans="1:10" ht="16">
      <c r="A19" s="44" t="s">
        <v>16</v>
      </c>
      <c r="B19" s="51"/>
      <c r="C19" s="52">
        <v>250.0</v>
      </c>
      <c r="D19" s="52">
        <v>49.0</v>
      </c>
      <c r="E19" s="51"/>
      <c r="F19" s="51"/>
      <c r="G19" s="51"/>
      <c r="H19" s="52">
        <v>1024.0</v>
      </c>
      <c r="I19" s="52">
        <v>1100.0</v>
      </c>
      <c r="J19" s="52">
        <f>B19+C19+D19+E19+F19+G19+H19+I19</f>
        <v>2423.0</v>
      </c>
    </row>
    <row r="20" spans="1:10" ht="16">
      <c r="A20" s="44" t="s">
        <v>17</v>
      </c>
      <c r="B20" s="52">
        <v>75.0</v>
      </c>
      <c r="C20" s="52">
        <v>49.0</v>
      </c>
      <c r="D20" s="52">
        <v>98.0</v>
      </c>
      <c r="E20" s="52">
        <v>607.0</v>
      </c>
      <c r="F20" s="52">
        <v>245.0</v>
      </c>
      <c r="G20" s="52">
        <v>245.0</v>
      </c>
      <c r="H20" s="52">
        <v>3110.0</v>
      </c>
      <c r="I20" s="52">
        <v>647.0</v>
      </c>
      <c r="J20" s="52">
        <f>B20+C20+D20+E20+F20+G20+H20+I20</f>
        <v>5076.0</v>
      </c>
    </row>
    <row r="21" spans="1:10" ht="16">
      <c r="A21" s="45" t="s">
        <v>18</v>
      </c>
      <c r="B21" s="53">
        <f>B18+B19+B20</f>
        <v>75.0</v>
      </c>
      <c r="C21" s="53">
        <f>C18+C19+C20</f>
        <v>299.0</v>
      </c>
      <c r="D21" s="53">
        <f>D18+D19+D20</f>
        <v>147.0</v>
      </c>
      <c r="E21" s="53">
        <f>E18+E19+E20</f>
        <v>607.0</v>
      </c>
      <c r="F21" s="53">
        <f>F18+F19+F20</f>
        <v>245.0</v>
      </c>
      <c r="G21" s="53">
        <f>G18+G19+G20</f>
        <v>245.0</v>
      </c>
      <c r="H21" s="53">
        <f>H18+H19+H20</f>
        <v>4134.0</v>
      </c>
      <c r="I21" s="53">
        <f>I18+I19+I20</f>
        <v>1747.0</v>
      </c>
      <c r="J21" s="54">
        <f>B21+C21+D21+E21+F21+G21+H21+I21</f>
        <v>7499.0</v>
      </c>
    </row>
    <row r="22" spans="1:10" ht="16">
      <c r="A22" s="42" t="s">
        <v>19</v>
      </c>
      <c r="B22" s="51"/>
      <c r="C22" s="51"/>
      <c r="D22" s="51"/>
      <c r="E22" s="51"/>
      <c r="F22" s="51"/>
      <c r="G22" s="51"/>
      <c r="H22" s="51"/>
      <c r="I22" s="51"/>
      <c r="J22" s="51"/>
    </row>
    <row r="23" spans="1:10" ht="16">
      <c r="A23" s="44" t="s">
        <v>20</v>
      </c>
      <c r="B23" s="51"/>
      <c r="C23" s="52">
        <v>550.0</v>
      </c>
      <c r="D23" s="52">
        <v>1000.0</v>
      </c>
      <c r="E23" s="52">
        <v>300.0</v>
      </c>
      <c r="F23" s="52">
        <v>950.0</v>
      </c>
      <c r="G23" s="52">
        <v>2150.0</v>
      </c>
      <c r="H23" s="52">
        <v>950.0</v>
      </c>
      <c r="I23" s="52">
        <v>2550.0</v>
      </c>
      <c r="J23" s="52">
        <f>B23+C23+D23+E23+F23+G23+H23+I23</f>
        <v>8450.0</v>
      </c>
    </row>
    <row r="24" spans="1:10" ht="16">
      <c r="A24" s="44" t="s">
        <v>21</v>
      </c>
      <c r="B24" s="51"/>
      <c r="C24" s="51"/>
      <c r="D24" s="52">
        <v>1970.0</v>
      </c>
      <c r="E24" s="51"/>
      <c r="F24" s="51"/>
      <c r="G24" s="52">
        <v>99.0</v>
      </c>
      <c r="H24" s="51"/>
      <c r="I24" s="51"/>
      <c r="J24" s="52">
        <f>B24+C24+D24+E24+F24+G24+H24+I24</f>
        <v>2069.0</v>
      </c>
    </row>
    <row r="25" spans="1:10" ht="16">
      <c r="A25" s="44" t="s">
        <v>22</v>
      </c>
      <c r="B25" s="51"/>
      <c r="C25" s="52">
        <v>150.0</v>
      </c>
      <c r="D25" s="51"/>
      <c r="E25" s="51"/>
      <c r="F25" s="51"/>
      <c r="G25" s="51"/>
      <c r="H25" s="51"/>
      <c r="I25" s="51"/>
      <c r="J25" s="52">
        <f>B25+C25+D25+E25+F25+G25+H25+I25</f>
        <v>150.0</v>
      </c>
    </row>
    <row r="26" spans="1:10" ht="16">
      <c r="A26" s="45" t="s">
        <v>23</v>
      </c>
      <c r="B26" s="54">
        <f>B22+B23+B24+B25</f>
        <v>0.0</v>
      </c>
      <c r="C26" s="53">
        <f>C22+C23+C24+C25</f>
        <v>700.0</v>
      </c>
      <c r="D26" s="53">
        <f>D22+D23+D24+D25</f>
        <v>2970.0</v>
      </c>
      <c r="E26" s="53">
        <f>E22+E23+E24+E25</f>
        <v>300.0</v>
      </c>
      <c r="F26" s="53">
        <f>F22+F23+F24+F25</f>
        <v>950.0</v>
      </c>
      <c r="G26" s="53">
        <f>G22+G23+G24+G25</f>
        <v>2249.0</v>
      </c>
      <c r="H26" s="53">
        <f>H22+H23+H24+H25</f>
        <v>950.0</v>
      </c>
      <c r="I26" s="53">
        <f>I22+I23+I24+I25</f>
        <v>2550.0</v>
      </c>
      <c r="J26" s="54">
        <f>B26+C26+D26+E26+F26+G26+H26+I26</f>
        <v>10669.0</v>
      </c>
    </row>
    <row r="27" spans="1:10" ht="16">
      <c r="A27" s="43" t="s">
        <v>24</v>
      </c>
      <c r="B27" s="53">
        <f>B17+B21+B26</f>
        <v>75.0</v>
      </c>
      <c r="C27" s="53">
        <f>C17+C21+C26</f>
        <v>999.0</v>
      </c>
      <c r="D27" s="53">
        <f>D17+D21+D26</f>
        <v>3117.0</v>
      </c>
      <c r="E27" s="53">
        <f>E17+E21+E26</f>
        <v>907.0</v>
      </c>
      <c r="F27" s="53">
        <f>F17+F21+F26</f>
        <v>1195.0</v>
      </c>
      <c r="G27" s="53">
        <f>G17+G21+G26</f>
        <v>2494.0</v>
      </c>
      <c r="H27" s="53">
        <f>H17+H21+H26</f>
        <v>5084.0</v>
      </c>
      <c r="I27" s="53">
        <f>I17+I21+I26</f>
        <v>4297.0</v>
      </c>
      <c r="J27" s="54">
        <f>B27+C27+D27+E27+F27+G27+H27+I27</f>
        <v>18168.0</v>
      </c>
    </row>
    <row r="28" spans="1:10" ht="16">
      <c r="A28" s="41" t="s">
        <v>25</v>
      </c>
      <c r="B28" s="52">
        <v>-2016.5</v>
      </c>
      <c r="C28" s="52">
        <v>-1732.0</v>
      </c>
      <c r="D28" s="52">
        <v>-884.0</v>
      </c>
      <c r="E28" s="52">
        <v>-600.92</v>
      </c>
      <c r="F28" s="52">
        <v>-100.0</v>
      </c>
      <c r="G28" s="52">
        <v>-1971.0</v>
      </c>
      <c r="H28" s="52">
        <v>-666.5</v>
      </c>
      <c r="I28" s="52">
        <v>-147.0</v>
      </c>
      <c r="J28" s="52">
        <f>B28+C28+D28+E28+F28+G28+H28+I28</f>
        <v>-8117.92</v>
      </c>
    </row>
    <row r="29" spans="1:10" ht="16">
      <c r="A29" s="46" t="s">
        <v>26</v>
      </c>
      <c r="B29" s="53">
        <f>B7+B16+B27+B28</f>
        <v>136466.67</v>
      </c>
      <c r="C29" s="53">
        <f>C7+C16+C27+C28</f>
        <v>128210.89</v>
      </c>
      <c r="D29" s="53">
        <f>D7+D16+D27+D28</f>
        <v>129360.48999999999</v>
      </c>
      <c r="E29" s="53">
        <f>E7+E16+E27+E28</f>
        <v>114369.29</v>
      </c>
      <c r="F29" s="53">
        <f>F7+F16+F27+F28</f>
        <v>127541.58</v>
      </c>
      <c r="G29" s="53">
        <f>G7+G16+G27+G28</f>
        <v>142032.24</v>
      </c>
      <c r="H29" s="53">
        <f>H7+H16+H27+H28</f>
        <v>166491.48</v>
      </c>
      <c r="I29" s="53">
        <f>I7+I16+I27+I28</f>
        <v>158468.27000000002</v>
      </c>
      <c r="J29" s="54">
        <f>B29+C29+D29+E29+F29+G29+H29+I29</f>
        <v>1102940.91</v>
      </c>
    </row>
    <row r="30" spans="1:10" ht="16">
      <c r="A30" s="40" t="s">
        <v>27</v>
      </c>
      <c r="B30" s="51"/>
      <c r="C30" s="51"/>
      <c r="D30" s="51"/>
      <c r="E30" s="51"/>
      <c r="F30" s="51"/>
      <c r="G30" s="51"/>
      <c r="H30" s="52">
        <v>962.0</v>
      </c>
      <c r="I30" s="51"/>
      <c r="J30" s="52">
        <f>B30+C30+D30+E30+F30+G30+H30+I30</f>
        <v>962.0</v>
      </c>
    </row>
    <row r="31" spans="1:10" ht="16">
      <c r="A31" s="47" t="s">
        <v>28</v>
      </c>
      <c r="B31" s="53">
        <f>B6+B29+B30</f>
        <v>136466.67</v>
      </c>
      <c r="C31" s="53">
        <f>C6+C29+C30</f>
        <v>128210.89</v>
      </c>
      <c r="D31" s="53">
        <f>D6+D29+D30</f>
        <v>129360.48999999999</v>
      </c>
      <c r="E31" s="53">
        <f>E6+E29+E30</f>
        <v>114369.29</v>
      </c>
      <c r="F31" s="53">
        <f>F6+F29+F30</f>
        <v>127541.58</v>
      </c>
      <c r="G31" s="53">
        <f>G6+G29+G30</f>
        <v>142032.24</v>
      </c>
      <c r="H31" s="53">
        <f>H6+H29+H30</f>
        <v>167453.48</v>
      </c>
      <c r="I31" s="53">
        <f>I6+I29+I30</f>
        <v>158468.27000000002</v>
      </c>
      <c r="J31" s="54">
        <f>B31+C31+D31+E31+F31+G31+H31+I31</f>
        <v>1103902.91</v>
      </c>
    </row>
    <row r="32" spans="1:9" ht="16">
      <c r="A32" s="39" t="s">
        <v>29</v>
      </c>
      <c r="B32" s="51"/>
      <c r="C32" s="51"/>
      <c r="D32" s="51"/>
      <c r="E32" s="51"/>
      <c r="F32" s="51"/>
      <c r="G32" s="51"/>
      <c r="H32" s="51"/>
      <c r="I32" s="51"/>
    </row>
    <row r="33" spans="1:10" ht="16">
      <c r="A33" s="40" t="s">
        <v>30</v>
      </c>
      <c r="B33" s="51"/>
      <c r="C33" s="51"/>
      <c r="D33" s="51"/>
      <c r="E33" s="51"/>
      <c r="F33" s="51"/>
      <c r="G33" s="51"/>
      <c r="H33" s="51"/>
      <c r="I33" s="51"/>
      <c r="J33" s="51"/>
    </row>
    <row r="34" spans="1:10" ht="16">
      <c r="A34" s="41" t="s">
        <v>31</v>
      </c>
      <c r="B34" s="51"/>
      <c r="C34" s="51"/>
      <c r="D34" s="51"/>
      <c r="E34" s="52">
        <v>175.44</v>
      </c>
      <c r="F34" s="52">
        <v>-14.71</v>
      </c>
      <c r="G34" s="51"/>
      <c r="H34" s="51"/>
      <c r="I34" s="52">
        <v>187.46</v>
      </c>
      <c r="J34" s="52">
        <f>B34+C34+D34+E34+F34+G34+H34+I34</f>
        <v>348.19</v>
      </c>
    </row>
    <row r="35" spans="1:10" ht="16">
      <c r="A35" s="42" t="s">
        <v>32</v>
      </c>
      <c r="B35" s="51"/>
      <c r="C35" s="51"/>
      <c r="D35" s="51"/>
      <c r="E35" s="51"/>
      <c r="F35" s="51"/>
      <c r="G35" s="51"/>
      <c r="H35" s="51"/>
      <c r="I35" s="52">
        <v>2081.3</v>
      </c>
      <c r="J35" s="52">
        <f>B35+C35+D35+E35+F35+G35+H35+I35</f>
        <v>2081.3</v>
      </c>
    </row>
    <row r="36" spans="1:10" ht="16">
      <c r="A36" s="42" t="s">
        <v>33</v>
      </c>
      <c r="B36" s="52">
        <v>2236.04</v>
      </c>
      <c r="C36" s="52">
        <v>375.98</v>
      </c>
      <c r="D36" s="52">
        <v>427.81</v>
      </c>
      <c r="E36" s="52">
        <v>4252.6</v>
      </c>
      <c r="F36" s="52">
        <v>1182.51</v>
      </c>
      <c r="G36" s="52">
        <v>3390.57</v>
      </c>
      <c r="H36" s="52">
        <v>332.11</v>
      </c>
      <c r="I36" s="52">
        <v>2584.43</v>
      </c>
      <c r="J36" s="52">
        <f>B36+C36+D36+E36+F36+G36+H36+I36</f>
        <v>14782.050000000001</v>
      </c>
    </row>
    <row r="37" spans="1:10" ht="16">
      <c r="A37" s="42" t="s">
        <v>34</v>
      </c>
      <c r="B37" s="51"/>
      <c r="C37" s="52">
        <v>2844.0</v>
      </c>
      <c r="D37" s="52">
        <v>1968.79</v>
      </c>
      <c r="E37" s="51"/>
      <c r="F37" s="51"/>
      <c r="G37" s="52">
        <v>810.66</v>
      </c>
      <c r="H37" s="52">
        <v>4394.09</v>
      </c>
      <c r="I37" s="52">
        <v>631.87</v>
      </c>
      <c r="J37" s="52">
        <f>B37+C37+D37+E37+F37+G37+H37+I37</f>
        <v>10649.410000000002</v>
      </c>
    </row>
    <row r="38" spans="1:10" ht="16">
      <c r="A38" s="42" t="s">
        <v>35</v>
      </c>
      <c r="B38" s="52">
        <v>958.36</v>
      </c>
      <c r="C38" s="52">
        <v>1611.21</v>
      </c>
      <c r="D38" s="52">
        <v>3965.81</v>
      </c>
      <c r="E38" s="52">
        <v>1725.7</v>
      </c>
      <c r="F38" s="52">
        <v>2442.08</v>
      </c>
      <c r="G38" s="52">
        <v>3749.73</v>
      </c>
      <c r="H38" s="52">
        <v>6579.54</v>
      </c>
      <c r="I38" s="52">
        <v>1099.17</v>
      </c>
      <c r="J38" s="52">
        <f>B38+C38+D38+E38+F38+G38+H38+I38</f>
        <v>22131.6</v>
      </c>
    </row>
    <row r="39" spans="1:10" ht="16">
      <c r="A39" s="43" t="s">
        <v>36</v>
      </c>
      <c r="B39" s="53">
        <f>B34+B35+B36+B37+B38</f>
        <v>3194.4</v>
      </c>
      <c r="C39" s="53">
        <f>C34+C35+C36+C37+C38</f>
        <v>4831.1900000000005</v>
      </c>
      <c r="D39" s="53">
        <f>D34+D35+D36+D37+D38</f>
        <v>6362.41</v>
      </c>
      <c r="E39" s="53">
        <f>E34+E35+E36+E37+E38</f>
        <v>6153.74</v>
      </c>
      <c r="F39" s="53">
        <f>F34+F35+F36+F37+F38</f>
        <v>3609.88</v>
      </c>
      <c r="G39" s="53">
        <f>G34+G35+G36+G37+G38</f>
        <v>7950.960000000001</v>
      </c>
      <c r="H39" s="53">
        <f>H34+H35+H36+H37+H38</f>
        <v>11305.74</v>
      </c>
      <c r="I39" s="53">
        <f>I34+I35+I36+I37+I38</f>
        <v>6584.2300000000005</v>
      </c>
      <c r="J39" s="54">
        <f>B39+C39+D39+E39+F39+G39+H39+I39</f>
        <v>49992.55</v>
      </c>
    </row>
    <row r="40" spans="1:10" ht="16">
      <c r="A40" s="41" t="s">
        <v>37</v>
      </c>
      <c r="B40" s="51"/>
      <c r="C40" s="51"/>
      <c r="D40" s="52">
        <v>500.0</v>
      </c>
      <c r="E40" s="51"/>
      <c r="F40" s="51"/>
      <c r="G40" s="51"/>
      <c r="H40" s="51"/>
      <c r="I40" s="51"/>
      <c r="J40" s="52">
        <f>B40+C40+D40+E40+F40+G40+H40+I40</f>
        <v>500.0</v>
      </c>
    </row>
    <row r="41" spans="1:10" ht="16">
      <c r="A41" s="41" t="s">
        <v>38</v>
      </c>
      <c r="B41" s="51"/>
      <c r="C41" s="51"/>
      <c r="D41" s="52">
        <v>283.28</v>
      </c>
      <c r="E41" s="52">
        <v>2068.14</v>
      </c>
      <c r="F41" s="51"/>
      <c r="G41" s="52">
        <v>1259.74</v>
      </c>
      <c r="H41" s="52">
        <v>2594.08</v>
      </c>
      <c r="I41" s="51"/>
      <c r="J41" s="52">
        <f>B41+C41+D41+E41+F41+G41+H41+I41</f>
        <v>6205.24</v>
      </c>
    </row>
    <row r="42" spans="1:10" ht="16">
      <c r="A42" s="42" t="s">
        <v>39</v>
      </c>
      <c r="B42" s="51"/>
      <c r="C42" s="51"/>
      <c r="D42" s="52">
        <v>158.74</v>
      </c>
      <c r="E42" s="51"/>
      <c r="F42" s="51"/>
      <c r="G42" s="51"/>
      <c r="H42" s="51"/>
      <c r="I42" s="51"/>
      <c r="J42" s="52">
        <f>B42+C42+D42+E42+F42+G42+H42+I42</f>
        <v>158.74</v>
      </c>
    </row>
    <row r="43" spans="1:10" ht="16">
      <c r="A43" s="44" t="s">
        <v>40</v>
      </c>
      <c r="B43" s="51"/>
      <c r="C43" s="51"/>
      <c r="D43" s="51"/>
      <c r="E43" s="51"/>
      <c r="F43" s="51"/>
      <c r="G43" s="52">
        <v>299.65</v>
      </c>
      <c r="H43" s="51"/>
      <c r="I43" s="51"/>
      <c r="J43" s="52">
        <f>B43+C43+D43+E43+F43+G43+H43+I43</f>
        <v>299.65</v>
      </c>
    </row>
    <row r="44" spans="1:10" ht="16">
      <c r="A44" s="45" t="s">
        <v>41</v>
      </c>
      <c r="B44" s="54">
        <f>B42+B43</f>
        <v>0.0</v>
      </c>
      <c r="C44" s="54">
        <f>C42+C43</f>
        <v>0.0</v>
      </c>
      <c r="D44" s="53">
        <f>D42+D43</f>
        <v>158.74</v>
      </c>
      <c r="E44" s="54">
        <f>E42+E43</f>
        <v>0.0</v>
      </c>
      <c r="F44" s="54">
        <f>F42+F43</f>
        <v>0.0</v>
      </c>
      <c r="G44" s="53">
        <f>G42+G43</f>
        <v>299.65</v>
      </c>
      <c r="H44" s="54">
        <f>H42+H43</f>
        <v>0.0</v>
      </c>
      <c r="I44" s="54">
        <f>I42+I43</f>
        <v>0.0</v>
      </c>
      <c r="J44" s="54">
        <f>B44+C44+D44+E44+F44+G44+H44+I44</f>
        <v>458.39</v>
      </c>
    </row>
    <row r="45" spans="1:10" ht="16">
      <c r="A45" s="42" t="s">
        <v>42</v>
      </c>
      <c r="B45" s="51"/>
      <c r="C45" s="51"/>
      <c r="D45" s="51"/>
      <c r="E45" s="51"/>
      <c r="F45" s="51"/>
      <c r="G45" s="51"/>
      <c r="H45" s="51"/>
      <c r="I45" s="51"/>
      <c r="J45" s="51"/>
    </row>
    <row r="46" spans="1:10" ht="16">
      <c r="A46" s="44" t="s">
        <v>43</v>
      </c>
      <c r="B46" s="51"/>
      <c r="C46" s="52">
        <v>208.53</v>
      </c>
      <c r="D46" s="51"/>
      <c r="E46" s="51"/>
      <c r="F46" s="51"/>
      <c r="G46" s="51"/>
      <c r="H46" s="51"/>
      <c r="I46" s="51"/>
      <c r="J46" s="52">
        <f>B46+C46+D46+E46+F46+G46+H46+I46</f>
        <v>208.53</v>
      </c>
    </row>
    <row r="47" spans="1:10" ht="16">
      <c r="A47" s="45" t="s">
        <v>44</v>
      </c>
      <c r="B47" s="54">
        <f>B45+B46</f>
        <v>0.0</v>
      </c>
      <c r="C47" s="53">
        <f>C45+C46</f>
        <v>208.53</v>
      </c>
      <c r="D47" s="54">
        <f>D45+D46</f>
        <v>0.0</v>
      </c>
      <c r="E47" s="54">
        <f>E45+E46</f>
        <v>0.0</v>
      </c>
      <c r="F47" s="54">
        <f>F45+F46</f>
        <v>0.0</v>
      </c>
      <c r="G47" s="54">
        <f>G45+G46</f>
        <v>0.0</v>
      </c>
      <c r="H47" s="54">
        <f>H45+H46</f>
        <v>0.0</v>
      </c>
      <c r="I47" s="54">
        <f>I45+I46</f>
        <v>0.0</v>
      </c>
      <c r="J47" s="54">
        <f>B47+C47+D47+E47+F47+G47+H47+I47</f>
        <v>208.53</v>
      </c>
    </row>
    <row r="48" spans="1:10" ht="16">
      <c r="A48" s="43" t="s">
        <v>45</v>
      </c>
      <c r="B48" s="54">
        <f>B41+B44+B47</f>
        <v>0.0</v>
      </c>
      <c r="C48" s="53">
        <f>C41+C44+C47</f>
        <v>208.53</v>
      </c>
      <c r="D48" s="53">
        <f>D41+D44+D47</f>
        <v>442.02</v>
      </c>
      <c r="E48" s="53">
        <f>E41+E44+E47</f>
        <v>2068.14</v>
      </c>
      <c r="F48" s="54">
        <f>F41+F44+F47</f>
        <v>0.0</v>
      </c>
      <c r="G48" s="53">
        <f>G41+G44+G47</f>
        <v>1559.3899999999999</v>
      </c>
      <c r="H48" s="53">
        <f>H41+H44+H47</f>
        <v>2594.08</v>
      </c>
      <c r="I48" s="54">
        <f>I41+I44+I47</f>
        <v>0.0</v>
      </c>
      <c r="J48" s="54">
        <f>B48+C48+D48+E48+F48+G48+H48+I48</f>
        <v>6872.16</v>
      </c>
    </row>
    <row r="49" spans="1:10" ht="16">
      <c r="A49" s="46" t="s">
        <v>46</v>
      </c>
      <c r="B49" s="53">
        <f>B33+B39+B40+B48</f>
        <v>3194.4</v>
      </c>
      <c r="C49" s="53">
        <f>C33+C39+C40+C48</f>
        <v>5039.72</v>
      </c>
      <c r="D49" s="53">
        <f>D33+D39+D40+D48</f>
        <v>7304.43</v>
      </c>
      <c r="E49" s="53">
        <f>E33+E39+E40+E48</f>
        <v>8221.88</v>
      </c>
      <c r="F49" s="53">
        <f>F33+F39+F40+F48</f>
        <v>3609.88</v>
      </c>
      <c r="G49" s="53">
        <f>G33+G39+G40+G48</f>
        <v>9510.35</v>
      </c>
      <c r="H49" s="53">
        <f>H33+H39+H40+H48</f>
        <v>13899.82</v>
      </c>
      <c r="I49" s="53">
        <f>I33+I39+I40+I48</f>
        <v>6584.2300000000005</v>
      </c>
      <c r="J49" s="54">
        <f>B49+C49+D49+E49+F49+G49+H49+I49</f>
        <v>57364.71000000001</v>
      </c>
    </row>
    <row r="50" spans="1:10" ht="16">
      <c r="A50" s="40" t="s">
        <v>47</v>
      </c>
      <c r="B50" s="52">
        <v>2844.0</v>
      </c>
      <c r="C50" s="52">
        <v>2367.0</v>
      </c>
      <c r="D50" s="52">
        <v>2197.0</v>
      </c>
      <c r="E50" s="52">
        <v>2449.32</v>
      </c>
      <c r="F50" s="52">
        <v>2355.0</v>
      </c>
      <c r="G50" s="52">
        <v>2773.0</v>
      </c>
      <c r="H50" s="52">
        <v>3950.0</v>
      </c>
      <c r="I50" s="52">
        <v>2546.0</v>
      </c>
      <c r="J50" s="52">
        <f>B50+C50+D50+E50+F50+G50+H50+I50</f>
        <v>21481.32</v>
      </c>
    </row>
    <row r="51" spans="1:10" ht="16">
      <c r="A51" s="40" t="s">
        <v>48</v>
      </c>
      <c r="B51" s="52">
        <v>492.63</v>
      </c>
      <c r="C51" s="51"/>
      <c r="D51" s="51"/>
      <c r="E51" s="51"/>
      <c r="F51" s="51"/>
      <c r="G51" s="51"/>
      <c r="H51" s="51"/>
      <c r="I51" s="51"/>
      <c r="J51" s="52">
        <f>B51+C51+D51+E51+F51+G51+H51+I51</f>
        <v>492.63</v>
      </c>
    </row>
    <row r="52" spans="1:10" ht="16">
      <c r="A52" s="40" t="s">
        <v>49</v>
      </c>
      <c r="B52" s="51"/>
      <c r="C52" s="51"/>
      <c r="D52" s="51"/>
      <c r="E52" s="51"/>
      <c r="F52" s="51"/>
      <c r="G52" s="51"/>
      <c r="H52" s="51"/>
      <c r="I52" s="51"/>
      <c r="J52" s="51"/>
    </row>
    <row r="53" spans="1:10" ht="16">
      <c r="A53" s="41" t="s">
        <v>50</v>
      </c>
      <c r="B53" s="52">
        <v>47989.38</v>
      </c>
      <c r="C53" s="52">
        <v>40072.0</v>
      </c>
      <c r="D53" s="52">
        <v>44990.87</v>
      </c>
      <c r="E53" s="52">
        <v>35855.3</v>
      </c>
      <c r="F53" s="52">
        <v>36463.77</v>
      </c>
      <c r="G53" s="52">
        <v>47454.63</v>
      </c>
      <c r="H53" s="52">
        <v>77710.36</v>
      </c>
      <c r="I53" s="52">
        <v>57107.41</v>
      </c>
      <c r="J53" s="52">
        <f>B53+C53+D53+E53+F53+G53+H53+I53</f>
        <v>387643.72</v>
      </c>
    </row>
    <row r="54" spans="1:10" ht="16">
      <c r="A54" s="41" t="s">
        <v>51</v>
      </c>
      <c r="B54" s="52">
        <v>3905.82</v>
      </c>
      <c r="C54" s="52">
        <v>3317.27</v>
      </c>
      <c r="D54" s="52">
        <v>3356.32</v>
      </c>
      <c r="E54" s="52">
        <v>2301.91</v>
      </c>
      <c r="F54" s="52">
        <v>2869.86</v>
      </c>
      <c r="G54" s="52">
        <v>3853.12</v>
      </c>
      <c r="H54" s="52">
        <v>6171.47</v>
      </c>
      <c r="I54" s="52">
        <v>4470.99</v>
      </c>
      <c r="J54" s="52">
        <f>B54+C54+D54+E54+F54+G54+H54+I54</f>
        <v>30246.760000000002</v>
      </c>
    </row>
    <row r="55" spans="1:10" ht="16">
      <c r="A55" s="41" t="s">
        <v>52</v>
      </c>
      <c r="B55" s="51"/>
      <c r="C55" s="51"/>
      <c r="D55" s="52">
        <v>1903.52</v>
      </c>
      <c r="E55" s="52">
        <v>1488.36</v>
      </c>
      <c r="F55" s="52">
        <v>270.0</v>
      </c>
      <c r="G55" s="51"/>
      <c r="H55" s="52">
        <v>4475.0</v>
      </c>
      <c r="I55" s="51"/>
      <c r="J55" s="52">
        <f>B55+C55+D55+E55+F55+G55+H55+I55</f>
        <v>8136.88</v>
      </c>
    </row>
    <row r="56" spans="1:10" ht="16">
      <c r="A56" s="46" t="s">
        <v>53</v>
      </c>
      <c r="B56" s="53">
        <f>B52+B53+B54+B55</f>
        <v>51895.2</v>
      </c>
      <c r="C56" s="53">
        <f>C52+C53+C54+C55</f>
        <v>43389.27</v>
      </c>
      <c r="D56" s="53">
        <f>D52+D53+D54+D55</f>
        <v>50250.71</v>
      </c>
      <c r="E56" s="53">
        <f>E52+E53+E54+E55</f>
        <v>39645.57000000001</v>
      </c>
      <c r="F56" s="53">
        <f>F52+F53+F54+F55</f>
        <v>39603.63</v>
      </c>
      <c r="G56" s="53">
        <f>G52+G53+G54+G55</f>
        <v>51307.75</v>
      </c>
      <c r="H56" s="53">
        <f>H52+H53+H54+H55</f>
        <v>88356.83</v>
      </c>
      <c r="I56" s="53">
        <f>I52+I53+I54+I55</f>
        <v>61578.4</v>
      </c>
      <c r="J56" s="54">
        <f>B56+C56+D56+E56+F56+G56+H56+I56</f>
        <v>426027.36000000004</v>
      </c>
    </row>
    <row r="57" spans="1:10" ht="16">
      <c r="A57" s="40" t="s">
        <v>54</v>
      </c>
      <c r="B57" s="51"/>
      <c r="C57" s="51"/>
      <c r="D57" s="51"/>
      <c r="E57" s="51"/>
      <c r="F57" s="51"/>
      <c r="G57" s="51"/>
      <c r="H57" s="51"/>
      <c r="I57" s="51"/>
      <c r="J57" s="51"/>
    </row>
    <row r="58" spans="1:10" ht="16">
      <c r="A58" s="41" t="s">
        <v>55</v>
      </c>
      <c r="B58" s="52">
        <v>2980.62</v>
      </c>
      <c r="C58" s="52">
        <v>3513.41</v>
      </c>
      <c r="D58" s="52">
        <v>4175.14</v>
      </c>
      <c r="E58" s="52">
        <v>4496.46</v>
      </c>
      <c r="F58" s="52">
        <v>5315.33</v>
      </c>
      <c r="G58" s="52">
        <v>4663.96</v>
      </c>
      <c r="H58" s="52">
        <v>5168.19</v>
      </c>
      <c r="I58" s="52">
        <v>4707.03</v>
      </c>
      <c r="J58" s="52">
        <f>B58+C58+D58+E58+F58+G58+H58+I58</f>
        <v>35020.14</v>
      </c>
    </row>
    <row r="59" spans="1:10" ht="16">
      <c r="A59" s="41" t="s">
        <v>56</v>
      </c>
      <c r="B59" s="52">
        <v>105.64</v>
      </c>
      <c r="C59" s="52">
        <v>494.26</v>
      </c>
      <c r="D59" s="52">
        <v>321.37</v>
      </c>
      <c r="E59" s="52">
        <v>388.3</v>
      </c>
      <c r="F59" s="52">
        <v>285.06</v>
      </c>
      <c r="G59" s="52">
        <v>143.14</v>
      </c>
      <c r="H59" s="52">
        <v>1004.32</v>
      </c>
      <c r="I59" s="52">
        <v>239.49</v>
      </c>
      <c r="J59" s="52">
        <f>B59+C59+D59+E59+F59+G59+H59+I59</f>
        <v>2981.58</v>
      </c>
    </row>
    <row r="60" spans="1:10" ht="16">
      <c r="A60" s="41" t="s">
        <v>57</v>
      </c>
      <c r="B60" s="52">
        <v>23.54</v>
      </c>
      <c r="C60" s="52">
        <v>94.92</v>
      </c>
      <c r="D60" s="52">
        <v>12.24</v>
      </c>
      <c r="E60" s="52">
        <v>19.26</v>
      </c>
      <c r="F60" s="52">
        <v>8.79</v>
      </c>
      <c r="G60" s="52">
        <v>5.24</v>
      </c>
      <c r="H60" s="52">
        <v>30.5</v>
      </c>
      <c r="I60" s="52">
        <v>11.24</v>
      </c>
      <c r="J60" s="52">
        <f>B60+C60+D60+E60+F60+G60+H60+I60</f>
        <v>205.73000000000002</v>
      </c>
    </row>
    <row r="61" spans="1:10" ht="16">
      <c r="A61" s="46" t="s">
        <v>58</v>
      </c>
      <c r="B61" s="53">
        <f>B57+B58+B59+B60</f>
        <v>3109.7999999999997</v>
      </c>
      <c r="C61" s="53">
        <f>C57+C58+C59+C60</f>
        <v>4102.59</v>
      </c>
      <c r="D61" s="53">
        <f>D57+D58+D59+D60</f>
        <v>4508.75</v>
      </c>
      <c r="E61" s="53">
        <f>E57+E58+E59+E60</f>
        <v>4904.02</v>
      </c>
      <c r="F61" s="53">
        <f>F57+F58+F59+F60</f>
        <v>5609.18</v>
      </c>
      <c r="G61" s="53">
        <f>G57+G58+G59+G60</f>
        <v>4812.34</v>
      </c>
      <c r="H61" s="53">
        <f>H57+H58+H59+H60</f>
        <v>6203.009999999999</v>
      </c>
      <c r="I61" s="53">
        <f>I57+I58+I59+I60</f>
        <v>4957.759999999999</v>
      </c>
      <c r="J61" s="54">
        <f>B61+C61+D61+E61+F61+G61+H61+I61</f>
        <v>38207.450000000004</v>
      </c>
    </row>
    <row r="62" spans="1:10" ht="16">
      <c r="A62" s="40" t="s">
        <v>59</v>
      </c>
      <c r="B62" s="52">
        <v>867.96</v>
      </c>
      <c r="C62" s="52">
        <v>840.48</v>
      </c>
      <c r="D62" s="52">
        <v>588.04</v>
      </c>
      <c r="E62" s="52">
        <v>893.24</v>
      </c>
      <c r="F62" s="52">
        <v>757.83</v>
      </c>
      <c r="G62" s="52">
        <v>965.23</v>
      </c>
      <c r="H62" s="52">
        <v>1198.15</v>
      </c>
      <c r="I62" s="52">
        <v>1174.51</v>
      </c>
      <c r="J62" s="52">
        <f>B62+C62+D62+E62+F62+G62+H62+I62</f>
        <v>7285.4400000000005</v>
      </c>
    </row>
    <row r="63" spans="1:10" ht="16">
      <c r="A63" s="40" t="s">
        <v>60</v>
      </c>
      <c r="B63" s="52">
        <v>11774.32</v>
      </c>
      <c r="C63" s="52">
        <v>12528.69</v>
      </c>
      <c r="D63" s="52">
        <v>13124.4</v>
      </c>
      <c r="E63" s="52">
        <v>11081.84</v>
      </c>
      <c r="F63" s="52">
        <v>10319.15</v>
      </c>
      <c r="G63" s="52">
        <v>13180.12</v>
      </c>
      <c r="H63" s="52">
        <v>14637.19</v>
      </c>
      <c r="I63" s="52">
        <v>12510.22</v>
      </c>
      <c r="J63" s="52">
        <f>B63+C63+D63+E63+F63+G63+H63+I63</f>
        <v>99155.93000000001</v>
      </c>
    </row>
    <row r="64" spans="1:10" ht="16">
      <c r="A64" s="47" t="s">
        <v>61</v>
      </c>
      <c r="B64" s="53">
        <f>B32+B49+B50+B51+B56+B61+B62+B63</f>
        <v>74178.31</v>
      </c>
      <c r="C64" s="53">
        <f>C32+C49+C50+C51+C56+C61+C62+C63</f>
        <v>68267.75</v>
      </c>
      <c r="D64" s="53">
        <f>D32+D49+D50+D51+D56+D61+D62+D63</f>
        <v>77973.33</v>
      </c>
      <c r="E64" s="53">
        <f>E32+E49+E50+E51+E56+E61+E62+E63</f>
        <v>67195.87000000001</v>
      </c>
      <c r="F64" s="53">
        <f>F32+F49+F50+F51+F56+F61+F62+F63</f>
        <v>62254.67</v>
      </c>
      <c r="G64" s="53">
        <f>G32+G49+G50+G51+G56+G61+G62+G63</f>
        <v>82548.79</v>
      </c>
      <c r="H64" s="53">
        <f>H32+H49+H50+H51+H56+H61+H62+H63</f>
        <v>128244.99999999999</v>
      </c>
      <c r="I64" s="53">
        <f>I32+I49+I50+I51+I56+I61+I62+I63</f>
        <v>89351.12</v>
      </c>
      <c r="J64" s="54">
        <f>B64+C64+D64+E64+F64+G64+H64+I64</f>
        <v>650014.84</v>
      </c>
    </row>
    <row r="65" spans="1:10" ht="16">
      <c r="A65" s="47" t="s">
        <v>62</v>
      </c>
      <c r="B65" s="53">
        <f>B31-B64</f>
        <v>62288.360000000015</v>
      </c>
      <c r="C65" s="53">
        <f>C31-C64</f>
        <v>59943.14</v>
      </c>
      <c r="D65" s="53">
        <f>D31-D64</f>
        <v>51387.15999999999</v>
      </c>
      <c r="E65" s="53">
        <f>E31-E64</f>
        <v>47173.419999999984</v>
      </c>
      <c r="F65" s="53">
        <f>F31-F64</f>
        <v>65286.91</v>
      </c>
      <c r="G65" s="53">
        <f>G31-G64</f>
        <v>59483.45</v>
      </c>
      <c r="H65" s="53">
        <f>H31-H64</f>
        <v>39208.480000000025</v>
      </c>
      <c r="I65" s="53">
        <f>I31-I64</f>
        <v>69117.15000000002</v>
      </c>
      <c r="J65" s="54">
        <f>B65+C65+D65+E65+F65+G65+H65+I65</f>
        <v>453888.07000000007</v>
      </c>
    </row>
    <row r="66" spans="1:9" ht="16">
      <c r="A66" s="39" t="s">
        <v>63</v>
      </c>
      <c r="B66" s="51"/>
      <c r="C66" s="51"/>
      <c r="D66" s="51"/>
      <c r="E66" s="51"/>
      <c r="F66" s="51"/>
      <c r="G66" s="51"/>
      <c r="H66" s="51"/>
      <c r="I66" s="51"/>
    </row>
    <row r="67" spans="1:10" ht="16">
      <c r="A67" s="40" t="s">
        <v>64</v>
      </c>
      <c r="B67" s="51"/>
      <c r="C67" s="51"/>
      <c r="D67" s="51"/>
      <c r="E67" s="51"/>
      <c r="F67" s="51"/>
      <c r="G67" s="51"/>
      <c r="H67" s="51"/>
      <c r="I67" s="51"/>
      <c r="J67" s="51"/>
    </row>
    <row r="68" spans="1:10" ht="16">
      <c r="A68" s="41" t="s">
        <v>65</v>
      </c>
      <c r="B68" s="52">
        <v>125.0</v>
      </c>
      <c r="C68" s="52">
        <v>125.0</v>
      </c>
      <c r="D68" s="52">
        <v>125.0</v>
      </c>
      <c r="E68" s="52">
        <v>125.0</v>
      </c>
      <c r="F68" s="52">
        <v>125.0</v>
      </c>
      <c r="G68" s="52">
        <v>125.0</v>
      </c>
      <c r="H68" s="52">
        <v>125.0</v>
      </c>
      <c r="I68" s="51"/>
      <c r="J68" s="52">
        <f>B68+C68+D68+E68+F68+G68+H68+I68</f>
        <v>875.0</v>
      </c>
    </row>
    <row r="69" spans="1:10" ht="16">
      <c r="A69" s="42" t="s">
        <v>66</v>
      </c>
      <c r="B69" s="52">
        <v>961.65</v>
      </c>
      <c r="C69" s="52">
        <v>1023.35</v>
      </c>
      <c r="D69" s="52">
        <v>969.38</v>
      </c>
      <c r="E69" s="52">
        <v>991.57</v>
      </c>
      <c r="F69" s="52">
        <v>2889.63</v>
      </c>
      <c r="G69" s="52">
        <v>983.14</v>
      </c>
      <c r="H69" s="52">
        <v>937.91</v>
      </c>
      <c r="I69" s="52">
        <v>956.8</v>
      </c>
      <c r="J69" s="52">
        <f>B69+C69+D69+E69+F69+G69+H69+I69</f>
        <v>9713.43</v>
      </c>
    </row>
    <row r="70" spans="1:10" ht="16">
      <c r="A70" s="42" t="s">
        <v>67</v>
      </c>
      <c r="B70" s="51"/>
      <c r="C70" s="52">
        <v>1002.45</v>
      </c>
      <c r="D70" s="51"/>
      <c r="E70" s="51"/>
      <c r="F70" s="51"/>
      <c r="G70" s="51"/>
      <c r="H70" s="51"/>
      <c r="I70" s="51"/>
      <c r="J70" s="52">
        <f>B70+C70+D70+E70+F70+G70+H70+I70</f>
        <v>1002.45</v>
      </c>
    </row>
    <row r="71" spans="1:10" ht="16">
      <c r="A71" s="42" t="s">
        <v>68</v>
      </c>
      <c r="B71" s="52">
        <v>1087.4</v>
      </c>
      <c r="C71" s="51"/>
      <c r="D71" s="51"/>
      <c r="E71" s="52">
        <v>1528.05</v>
      </c>
      <c r="F71" s="51"/>
      <c r="G71" s="52">
        <v>244.2</v>
      </c>
      <c r="H71" s="52">
        <v>175.95</v>
      </c>
      <c r="I71" s="51"/>
      <c r="J71" s="52">
        <f>B71+C71+D71+E71+F71+G71+H71+I71</f>
        <v>3035.5999999999995</v>
      </c>
    </row>
    <row r="72" spans="1:10" ht="16">
      <c r="A72" s="43" t="s">
        <v>69</v>
      </c>
      <c r="B72" s="53">
        <f>B68+B69+B70+B71</f>
        <v>2174.05</v>
      </c>
      <c r="C72" s="53">
        <f>C68+C69+C70+C71</f>
        <v>2150.8</v>
      </c>
      <c r="D72" s="53">
        <f>D68+D69+D70+D71</f>
        <v>1094.38</v>
      </c>
      <c r="E72" s="53">
        <f>E68+E69+E70+E71</f>
        <v>2644.62</v>
      </c>
      <c r="F72" s="53">
        <f>F68+F69+F70+F71</f>
        <v>3014.63</v>
      </c>
      <c r="G72" s="53">
        <f>G68+G69+G70+G71</f>
        <v>1352.34</v>
      </c>
      <c r="H72" s="53">
        <f>H68+H69+H70+H71</f>
        <v>1238.86</v>
      </c>
      <c r="I72" s="53">
        <f>I68+I69+I70+I71</f>
        <v>956.8</v>
      </c>
      <c r="J72" s="54">
        <f>B72+C72+D72+E72+F72+G72+H72+I72</f>
        <v>14626.48</v>
      </c>
    </row>
    <row r="73" spans="1:10" ht="16">
      <c r="A73" s="46" t="s">
        <v>70</v>
      </c>
      <c r="B73" s="53">
        <f>B67+B72</f>
        <v>2174.05</v>
      </c>
      <c r="C73" s="53">
        <f>C67+C72</f>
        <v>2150.8</v>
      </c>
      <c r="D73" s="53">
        <f>D67+D72</f>
        <v>1094.38</v>
      </c>
      <c r="E73" s="53">
        <f>E67+E72</f>
        <v>2644.62</v>
      </c>
      <c r="F73" s="53">
        <f>F67+F72</f>
        <v>3014.63</v>
      </c>
      <c r="G73" s="53">
        <f>G67+G72</f>
        <v>1352.34</v>
      </c>
      <c r="H73" s="53">
        <f>H67+H72</f>
        <v>1238.86</v>
      </c>
      <c r="I73" s="53">
        <f>I67+I72</f>
        <v>956.8</v>
      </c>
      <c r="J73" s="54">
        <f>B73+C73+D73+E73+F73+G73+H73+I73</f>
        <v>14626.48</v>
      </c>
    </row>
    <row r="74" spans="1:10" ht="16">
      <c r="A74" s="40" t="s">
        <v>71</v>
      </c>
      <c r="B74" s="51"/>
      <c r="C74" s="51"/>
      <c r="D74" s="51"/>
      <c r="E74" s="51"/>
      <c r="F74" s="51"/>
      <c r="G74" s="51"/>
      <c r="H74" s="51"/>
      <c r="I74" s="51"/>
      <c r="J74" s="51"/>
    </row>
    <row r="75" spans="1:10" ht="16">
      <c r="A75" s="41" t="s">
        <v>72</v>
      </c>
      <c r="B75" s="51"/>
      <c r="C75" s="51"/>
      <c r="D75" s="51"/>
      <c r="E75" s="51"/>
      <c r="F75" s="51"/>
      <c r="G75" s="51"/>
      <c r="H75" s="51"/>
      <c r="I75" s="51"/>
      <c r="J75" s="51"/>
    </row>
    <row r="76" spans="1:10" ht="16">
      <c r="A76" s="42" t="s">
        <v>73</v>
      </c>
      <c r="B76" s="52">
        <v>3479.0</v>
      </c>
      <c r="C76" s="52">
        <v>4119.74</v>
      </c>
      <c r="D76" s="52">
        <v>3061.8</v>
      </c>
      <c r="E76" s="52">
        <v>4179.38</v>
      </c>
      <c r="F76" s="52">
        <v>5361.94</v>
      </c>
      <c r="G76" s="52">
        <v>4130.42</v>
      </c>
      <c r="H76" s="52">
        <v>4712.77</v>
      </c>
      <c r="I76" s="52">
        <v>3301.56</v>
      </c>
      <c r="J76" s="52">
        <f>B76+C76+D76+E76+F76+G76+H76+I76</f>
        <v>32346.61</v>
      </c>
    </row>
    <row r="77" spans="1:10" ht="16">
      <c r="A77" s="43" t="s">
        <v>74</v>
      </c>
      <c r="B77" s="53">
        <f>B75+B76</f>
        <v>3479.0</v>
      </c>
      <c r="C77" s="53">
        <f>C75+C76</f>
        <v>4119.74</v>
      </c>
      <c r="D77" s="53">
        <f>D75+D76</f>
        <v>3061.8</v>
      </c>
      <c r="E77" s="53">
        <f>E75+E76</f>
        <v>4179.38</v>
      </c>
      <c r="F77" s="53">
        <f>F75+F76</f>
        <v>5361.94</v>
      </c>
      <c r="G77" s="53">
        <f>G75+G76</f>
        <v>4130.42</v>
      </c>
      <c r="H77" s="53">
        <f>H75+H76</f>
        <v>4712.77</v>
      </c>
      <c r="I77" s="53">
        <f>I75+I76</f>
        <v>3301.56</v>
      </c>
      <c r="J77" s="54">
        <f>B77+C77+D77+E77+F77+G77+H77+I77</f>
        <v>32346.61</v>
      </c>
    </row>
    <row r="78" spans="1:10" ht="16">
      <c r="A78" s="41" t="s">
        <v>75</v>
      </c>
      <c r="B78" s="52">
        <v>140.96</v>
      </c>
      <c r="C78" s="51"/>
      <c r="D78" s="52">
        <v>26.95</v>
      </c>
      <c r="E78" s="51"/>
      <c r="F78" s="51"/>
      <c r="G78" s="52">
        <v>60.0</v>
      </c>
      <c r="H78" s="51"/>
      <c r="I78" s="52">
        <v>84.58</v>
      </c>
      <c r="J78" s="52">
        <f>B78+C78+D78+E78+F78+G78+H78+I78</f>
        <v>312.49</v>
      </c>
    </row>
    <row r="79" spans="1:10" ht="16">
      <c r="A79" s="42" t="s">
        <v>76</v>
      </c>
      <c r="B79" s="51"/>
      <c r="C79" s="51"/>
      <c r="D79" s="51"/>
      <c r="E79" s="51"/>
      <c r="F79" s="51"/>
      <c r="G79" s="52">
        <v>162.6</v>
      </c>
      <c r="H79" s="51"/>
      <c r="I79" s="51"/>
      <c r="J79" s="52">
        <f>B79+C79+D79+E79+F79+G79+H79+I79</f>
        <v>162.6</v>
      </c>
    </row>
    <row r="80" spans="1:10" ht="16">
      <c r="A80" s="43" t="s">
        <v>77</v>
      </c>
      <c r="B80" s="53">
        <f>B78+B79</f>
        <v>140.96</v>
      </c>
      <c r="C80" s="54">
        <f>C78+C79</f>
        <v>0.0</v>
      </c>
      <c r="D80" s="53">
        <f>D78+D79</f>
        <v>26.95</v>
      </c>
      <c r="E80" s="54">
        <f>E78+E79</f>
        <v>0.0</v>
      </c>
      <c r="F80" s="54">
        <f>F78+F79</f>
        <v>0.0</v>
      </c>
      <c r="G80" s="53">
        <f>G78+G79</f>
        <v>222.6</v>
      </c>
      <c r="H80" s="54">
        <f>H78+H79</f>
        <v>0.0</v>
      </c>
      <c r="I80" s="53">
        <f>I78+I79</f>
        <v>84.58</v>
      </c>
      <c r="J80" s="54">
        <f>B80+C80+D80+E80+F80+G80+H80+I80</f>
        <v>475.09</v>
      </c>
    </row>
    <row r="81" spans="1:10" ht="16">
      <c r="A81" s="41" t="s">
        <v>78</v>
      </c>
      <c r="B81" s="52">
        <v>15.0</v>
      </c>
      <c r="C81" s="52">
        <v>12.46</v>
      </c>
      <c r="D81" s="52">
        <v>20.0</v>
      </c>
      <c r="E81" s="52">
        <v>45.1</v>
      </c>
      <c r="F81" s="52">
        <v>94.0</v>
      </c>
      <c r="G81" s="52">
        <v>81.0</v>
      </c>
      <c r="H81" s="52">
        <v>104.0</v>
      </c>
      <c r="I81" s="52">
        <v>25.0</v>
      </c>
      <c r="J81" s="52">
        <f>B81+C81+D81+E81+F81+G81+H81+I81</f>
        <v>396.56</v>
      </c>
    </row>
    <row r="82" spans="1:10" ht="16">
      <c r="A82" s="41" t="s">
        <v>79</v>
      </c>
      <c r="B82" s="51"/>
      <c r="C82" s="51"/>
      <c r="D82" s="52">
        <v>730.0</v>
      </c>
      <c r="E82" s="52">
        <v>1246.0</v>
      </c>
      <c r="F82" s="51"/>
      <c r="G82" s="51"/>
      <c r="H82" s="51"/>
      <c r="I82" s="51"/>
      <c r="J82" s="52">
        <f>B82+C82+D82+E82+F82+G82+H82+I82</f>
        <v>1976.0</v>
      </c>
    </row>
    <row r="83" spans="1:10" ht="16">
      <c r="A83" s="41" t="s">
        <v>80</v>
      </c>
      <c r="B83" s="52">
        <v>3882.34</v>
      </c>
      <c r="C83" s="52">
        <v>2500.0</v>
      </c>
      <c r="D83" s="52">
        <v>3932.34</v>
      </c>
      <c r="E83" s="52">
        <v>3882.34</v>
      </c>
      <c r="F83" s="52">
        <v>2500.0</v>
      </c>
      <c r="G83" s="52">
        <v>3882.34</v>
      </c>
      <c r="H83" s="52">
        <v>3666.17</v>
      </c>
      <c r="I83" s="52">
        <v>3882.34</v>
      </c>
      <c r="J83" s="52">
        <f>B83+C83+D83+E83+F83+G83+H83+I83</f>
        <v>28127.87</v>
      </c>
    </row>
    <row r="84" spans="1:10" ht="16">
      <c r="A84" s="42" t="s">
        <v>81</v>
      </c>
      <c r="B84" s="52">
        <v>750.0</v>
      </c>
      <c r="C84" s="52">
        <v>375.0</v>
      </c>
      <c r="D84" s="51"/>
      <c r="E84" s="52">
        <v>375.0</v>
      </c>
      <c r="F84" s="52">
        <v>375.0</v>
      </c>
      <c r="G84" s="52">
        <v>375.0</v>
      </c>
      <c r="H84" s="52">
        <v>375.0</v>
      </c>
      <c r="I84" s="52">
        <v>375.0</v>
      </c>
      <c r="J84" s="52">
        <f>B84+C84+D84+E84+F84+G84+H84+I84</f>
        <v>3000.0</v>
      </c>
    </row>
    <row r="85" spans="1:10" ht="16">
      <c r="A85" s="42" t="s">
        <v>82</v>
      </c>
      <c r="B85" s="51"/>
      <c r="C85" s="51"/>
      <c r="D85" s="51"/>
      <c r="E85" s="51"/>
      <c r="F85" s="51"/>
      <c r="G85" s="51"/>
      <c r="H85" s="51"/>
      <c r="I85" s="52">
        <v>324.0</v>
      </c>
      <c r="J85" s="52">
        <f>B85+C85+D85+E85+F85+G85+H85+I85</f>
        <v>324.0</v>
      </c>
    </row>
    <row r="86" spans="1:10" ht="16">
      <c r="A86" s="43" t="s">
        <v>83</v>
      </c>
      <c r="B86" s="53">
        <f>B83+B84+B85</f>
        <v>4632.34</v>
      </c>
      <c r="C86" s="53">
        <f>C83+C84+C85</f>
        <v>2875.0</v>
      </c>
      <c r="D86" s="53">
        <f>D83+D84+D85</f>
        <v>3932.34</v>
      </c>
      <c r="E86" s="53">
        <f>E83+E84+E85</f>
        <v>4257.34</v>
      </c>
      <c r="F86" s="53">
        <f>F83+F84+F85</f>
        <v>2875.0</v>
      </c>
      <c r="G86" s="53">
        <f>G83+G84+G85</f>
        <v>4257.34</v>
      </c>
      <c r="H86" s="53">
        <f>H83+H84+H85</f>
        <v>4041.17</v>
      </c>
      <c r="I86" s="53">
        <f>I83+I84+I85</f>
        <v>4581.34</v>
      </c>
      <c r="J86" s="54">
        <f>B86+C86+D86+E86+F86+G86+H86+I86</f>
        <v>31451.87</v>
      </c>
    </row>
    <row r="87" spans="1:10" ht="16">
      <c r="A87" s="41" t="s">
        <v>84</v>
      </c>
      <c r="B87" s="51"/>
      <c r="C87" s="51"/>
      <c r="D87" s="51"/>
      <c r="E87" s="51"/>
      <c r="F87" s="51"/>
      <c r="G87" s="51"/>
      <c r="H87" s="51"/>
      <c r="I87" s="51"/>
      <c r="J87" s="51"/>
    </row>
    <row r="88" spans="1:10" ht="16">
      <c r="A88" s="42" t="s">
        <v>85</v>
      </c>
      <c r="B88" s="52">
        <v>2500.0</v>
      </c>
      <c r="C88" s="52">
        <v>2500.0</v>
      </c>
      <c r="D88" s="52">
        <v>2500.0</v>
      </c>
      <c r="E88" s="52">
        <v>2500.0</v>
      </c>
      <c r="F88" s="52">
        <v>2550.0</v>
      </c>
      <c r="G88" s="52">
        <v>3067.98</v>
      </c>
      <c r="H88" s="52">
        <v>2806.49</v>
      </c>
      <c r="I88" s="52">
        <v>2806.49</v>
      </c>
      <c r="J88" s="52">
        <f>B88+C88+D88+E88+F88+G88+H88+I88</f>
        <v>21230.96</v>
      </c>
    </row>
    <row r="89" spans="1:10" ht="16">
      <c r="A89" s="42" t="s">
        <v>86</v>
      </c>
      <c r="B89" s="52">
        <v>483.72</v>
      </c>
      <c r="C89" s="52">
        <v>110.92</v>
      </c>
      <c r="D89" s="52">
        <v>586.87</v>
      </c>
      <c r="E89" s="52">
        <v>186.42</v>
      </c>
      <c r="F89" s="52">
        <v>152.71</v>
      </c>
      <c r="G89" s="52">
        <v>598.53</v>
      </c>
      <c r="H89" s="52">
        <v>381.82</v>
      </c>
      <c r="I89" s="52">
        <v>82.17</v>
      </c>
      <c r="J89" s="52">
        <f>B89+C89+D89+E89+F89+G89+H89+I89</f>
        <v>2583.1600000000003</v>
      </c>
    </row>
    <row r="90" spans="1:10" ht="16">
      <c r="A90" s="42" t="s">
        <v>87</v>
      </c>
      <c r="B90" s="51"/>
      <c r="C90" s="51"/>
      <c r="D90" s="51"/>
      <c r="E90" s="51"/>
      <c r="F90" s="51"/>
      <c r="G90" s="51"/>
      <c r="H90" s="51"/>
      <c r="I90" s="52">
        <v>125.75</v>
      </c>
      <c r="J90" s="52">
        <f>B90+C90+D90+E90+F90+G90+H90+I90</f>
        <v>125.75</v>
      </c>
    </row>
    <row r="91" spans="1:10" ht="16">
      <c r="A91" s="42" t="s">
        <v>88</v>
      </c>
      <c r="B91" s="51"/>
      <c r="C91" s="51"/>
      <c r="D91" s="51"/>
      <c r="E91" s="51"/>
      <c r="F91" s="51"/>
      <c r="G91" s="51"/>
      <c r="H91" s="51"/>
      <c r="I91" s="52">
        <v>306.62</v>
      </c>
      <c r="J91" s="52">
        <f>B91+C91+D91+E91+F91+G91+H91+I91</f>
        <v>306.62</v>
      </c>
    </row>
    <row r="92" spans="1:10" ht="16">
      <c r="A92" s="42" t="s">
        <v>89</v>
      </c>
      <c r="B92" s="52">
        <v>149.91</v>
      </c>
      <c r="C92" s="52">
        <v>142.9</v>
      </c>
      <c r="D92" s="52">
        <v>77.85</v>
      </c>
      <c r="E92" s="52">
        <v>77.85</v>
      </c>
      <c r="F92" s="52">
        <v>77.85</v>
      </c>
      <c r="G92" s="52">
        <v>77.85</v>
      </c>
      <c r="H92" s="52">
        <v>498.3</v>
      </c>
      <c r="I92" s="52">
        <v>77.85</v>
      </c>
      <c r="J92" s="52">
        <f>B92+C92+D92+E92+F92+G92+H92+I92</f>
        <v>1180.36</v>
      </c>
    </row>
    <row r="93" spans="1:10" ht="16">
      <c r="A93" s="42" t="s">
        <v>90</v>
      </c>
      <c r="B93" s="52">
        <v>276.58</v>
      </c>
      <c r="C93" s="52">
        <v>276.58</v>
      </c>
      <c r="D93" s="52">
        <v>276.58</v>
      </c>
      <c r="E93" s="52">
        <v>276.58</v>
      </c>
      <c r="F93" s="52">
        <v>276.62</v>
      </c>
      <c r="G93" s="52">
        <v>306.62</v>
      </c>
      <c r="H93" s="51"/>
      <c r="I93" s="51"/>
      <c r="J93" s="52">
        <f>B93+C93+D93+E93+F93+G93+H93+I93</f>
        <v>1689.56</v>
      </c>
    </row>
    <row r="94" spans="1:10" ht="16">
      <c r="A94" s="42" t="s">
        <v>91</v>
      </c>
      <c r="B94" s="52">
        <v>1169.87</v>
      </c>
      <c r="C94" s="52">
        <v>1461.56</v>
      </c>
      <c r="D94" s="52">
        <v>1666.75</v>
      </c>
      <c r="E94" s="52">
        <v>2037.54</v>
      </c>
      <c r="F94" s="52">
        <v>1339.01</v>
      </c>
      <c r="G94" s="52">
        <v>1687.73</v>
      </c>
      <c r="H94" s="52">
        <v>1973.7</v>
      </c>
      <c r="I94" s="52">
        <v>2221.79</v>
      </c>
      <c r="J94" s="52">
        <f>B94+C94+D94+E94+F94+G94+H94+I94</f>
        <v>13557.95</v>
      </c>
    </row>
    <row r="95" spans="1:10" ht="16">
      <c r="A95" s="43" t="s">
        <v>92</v>
      </c>
      <c r="B95" s="53">
        <f>B87+B88+B89+B90+B91+B92+B93+B94</f>
        <v>4580.08</v>
      </c>
      <c r="C95" s="53">
        <f>C87+C88+C89+C90+C91+C92+C93+C94</f>
        <v>4491.96</v>
      </c>
      <c r="D95" s="53">
        <f>D87+D88+D89+D90+D91+D92+D93+D94</f>
        <v>5108.049999999999</v>
      </c>
      <c r="E95" s="53">
        <f>E87+E88+E89+E90+E91+E92+E93+E94</f>
        <v>5078.389999999999</v>
      </c>
      <c r="F95" s="53">
        <f>F87+F88+F89+F90+F91+F92+F93+F94</f>
        <v>4396.19</v>
      </c>
      <c r="G95" s="53">
        <f>G87+G88+G89+G90+G91+G92+G93+G94</f>
        <v>5738.71</v>
      </c>
      <c r="H95" s="53">
        <f>H87+H88+H89+H90+H91+H92+H93+H94</f>
        <v>5660.31</v>
      </c>
      <c r="I95" s="53">
        <f>I87+I88+I89+I90+I91+I92+I93+I94</f>
        <v>5620.67</v>
      </c>
      <c r="J95" s="54">
        <f>B95+C95+D95+E95+F95+G95+H95+I95</f>
        <v>40674.35999999999</v>
      </c>
    </row>
    <row r="96" spans="1:10" ht="16">
      <c r="A96" s="41" t="s">
        <v>93</v>
      </c>
      <c r="B96" s="52">
        <v>634.21</v>
      </c>
      <c r="C96" s="52">
        <v>828.24</v>
      </c>
      <c r="D96" s="52">
        <v>634.81</v>
      </c>
      <c r="E96" s="52">
        <v>594.92</v>
      </c>
      <c r="F96" s="52">
        <v>962.81</v>
      </c>
      <c r="G96" s="52">
        <v>934.94</v>
      </c>
      <c r="H96" s="52">
        <v>1225.16</v>
      </c>
      <c r="I96" s="52">
        <v>616.95</v>
      </c>
      <c r="J96" s="52">
        <f>B96+C96+D96+E96+F96+G96+H96+I96</f>
        <v>6432.04</v>
      </c>
    </row>
    <row r="97" spans="1:10" ht="16">
      <c r="A97" s="41" t="s">
        <v>94</v>
      </c>
      <c r="B97" s="51"/>
      <c r="C97" s="51"/>
      <c r="D97" s="51"/>
      <c r="E97" s="51"/>
      <c r="F97" s="51"/>
      <c r="G97" s="51"/>
      <c r="H97" s="51"/>
      <c r="I97" s="51"/>
      <c r="J97" s="51"/>
    </row>
    <row r="98" spans="1:10" ht="16">
      <c r="A98" s="42" t="s">
        <v>95</v>
      </c>
      <c r="B98" s="51"/>
      <c r="C98" s="51"/>
      <c r="D98" s="51"/>
      <c r="E98" s="52">
        <v>1041.0</v>
      </c>
      <c r="F98" s="51"/>
      <c r="G98" s="51"/>
      <c r="H98" s="51"/>
      <c r="I98" s="51"/>
      <c r="J98" s="52">
        <f>B98+C98+D98+E98+F98+G98+H98+I98</f>
        <v>1041.0</v>
      </c>
    </row>
    <row r="99" spans="1:10" ht="16">
      <c r="A99" s="42" t="s">
        <v>96</v>
      </c>
      <c r="B99" s="51"/>
      <c r="C99" s="51"/>
      <c r="D99" s="51"/>
      <c r="E99" s="51"/>
      <c r="F99" s="51"/>
      <c r="G99" s="51"/>
      <c r="H99" s="51"/>
      <c r="I99" s="51"/>
      <c r="J99" s="51"/>
    </row>
    <row r="100" spans="1:10" ht="16">
      <c r="A100" s="44" t="s">
        <v>97</v>
      </c>
      <c r="B100" s="52">
        <v>1513.99</v>
      </c>
      <c r="C100" s="52">
        <v>1402.64</v>
      </c>
      <c r="D100" s="52">
        <v>954.91</v>
      </c>
      <c r="E100" s="52">
        <v>2659.62</v>
      </c>
      <c r="F100" s="51"/>
      <c r="G100" s="52">
        <v>1280.15</v>
      </c>
      <c r="H100" s="52">
        <v>1060.68</v>
      </c>
      <c r="I100" s="52">
        <v>2955.87</v>
      </c>
      <c r="J100" s="52">
        <f>B100+C100+D100+E100+F100+G100+H100+I100</f>
        <v>11827.86</v>
      </c>
    </row>
    <row r="101" spans="1:10" ht="16">
      <c r="A101" s="45" t="s">
        <v>98</v>
      </c>
      <c r="B101" s="53">
        <f>B99+B100</f>
        <v>1513.99</v>
      </c>
      <c r="C101" s="53">
        <f>C99+C100</f>
        <v>1402.64</v>
      </c>
      <c r="D101" s="53">
        <f>D99+D100</f>
        <v>954.91</v>
      </c>
      <c r="E101" s="53">
        <f>E99+E100</f>
        <v>2659.62</v>
      </c>
      <c r="F101" s="54">
        <f>F99+F100</f>
        <v>0.0</v>
      </c>
      <c r="G101" s="53">
        <f>G99+G100</f>
        <v>1280.15</v>
      </c>
      <c r="H101" s="53">
        <f>H99+H100</f>
        <v>1060.68</v>
      </c>
      <c r="I101" s="53">
        <f>I99+I100</f>
        <v>2955.87</v>
      </c>
      <c r="J101" s="54">
        <f>B101+C101+D101+E101+F101+G101+H101+I101</f>
        <v>11827.86</v>
      </c>
    </row>
    <row r="102" spans="1:10" ht="16">
      <c r="A102" s="42" t="s">
        <v>99</v>
      </c>
      <c r="B102" s="51"/>
      <c r="C102" s="51"/>
      <c r="D102" s="51"/>
      <c r="E102" s="51"/>
      <c r="F102" s="52">
        <v>983.5</v>
      </c>
      <c r="G102" s="52">
        <v>807.0</v>
      </c>
      <c r="H102" s="51"/>
      <c r="I102" s="52">
        <v>1075.0</v>
      </c>
      <c r="J102" s="52">
        <f>B102+C102+D102+E102+F102+G102+H102+I102</f>
        <v>2865.5</v>
      </c>
    </row>
    <row r="103" spans="1:10" ht="16">
      <c r="A103" s="43" t="s">
        <v>100</v>
      </c>
      <c r="B103" s="53">
        <f>B97+B98+B101+B102</f>
        <v>1513.99</v>
      </c>
      <c r="C103" s="53">
        <f>C97+C98+C101+C102</f>
        <v>1402.64</v>
      </c>
      <c r="D103" s="53">
        <f>D97+D98+D101+D102</f>
        <v>954.91</v>
      </c>
      <c r="E103" s="53">
        <f>E97+E98+E101+E102</f>
        <v>3700.62</v>
      </c>
      <c r="F103" s="53">
        <f>F97+F98+F101+F102</f>
        <v>983.5</v>
      </c>
      <c r="G103" s="53">
        <f>G97+G98+G101+G102</f>
        <v>2087.15</v>
      </c>
      <c r="H103" s="53">
        <f>H97+H98+H101+H102</f>
        <v>1060.68</v>
      </c>
      <c r="I103" s="53">
        <f>I97+I98+I101+I102</f>
        <v>4030.87</v>
      </c>
      <c r="J103" s="54">
        <f>B103+C103+D103+E103+F103+G103+H103+I103</f>
        <v>15734.36</v>
      </c>
    </row>
    <row r="104" spans="1:10" ht="16">
      <c r="A104" s="41" t="s">
        <v>101</v>
      </c>
      <c r="B104" s="51"/>
      <c r="C104" s="51"/>
      <c r="D104" s="51"/>
      <c r="E104" s="51"/>
      <c r="F104" s="51"/>
      <c r="G104" s="51"/>
      <c r="H104" s="51"/>
      <c r="I104" s="51"/>
      <c r="J104" s="51"/>
    </row>
    <row r="105" spans="1:10" ht="16">
      <c r="A105" s="42" t="s">
        <v>102</v>
      </c>
      <c r="B105" s="52">
        <v>303.3</v>
      </c>
      <c r="C105" s="52">
        <v>303.3</v>
      </c>
      <c r="D105" s="52">
        <v>303.3</v>
      </c>
      <c r="E105" s="52">
        <v>303.3</v>
      </c>
      <c r="F105" s="52">
        <v>303.3</v>
      </c>
      <c r="G105" s="52">
        <v>303.3</v>
      </c>
      <c r="H105" s="52">
        <v>303.3</v>
      </c>
      <c r="I105" s="52">
        <v>303.3</v>
      </c>
      <c r="J105" s="52">
        <f>B105+C105+D105+E105+F105+G105+H105+I105</f>
        <v>2426.4</v>
      </c>
    </row>
    <row r="106" spans="1:10" ht="16">
      <c r="A106" s="42" t="s">
        <v>103</v>
      </c>
      <c r="B106" s="51"/>
      <c r="C106" s="52">
        <v>154.79</v>
      </c>
      <c r="D106" s="51"/>
      <c r="E106" s="52">
        <v>96.1</v>
      </c>
      <c r="F106" s="51"/>
      <c r="G106" s="51"/>
      <c r="H106" s="52">
        <v>2.21</v>
      </c>
      <c r="I106" s="52">
        <v>374.51</v>
      </c>
      <c r="J106" s="52">
        <f>B106+C106+D106+E106+F106+G106+H106+I106</f>
        <v>627.61</v>
      </c>
    </row>
    <row r="107" spans="1:10" ht="16">
      <c r="A107" s="42" t="s">
        <v>104</v>
      </c>
      <c r="B107" s="52">
        <v>1880.6</v>
      </c>
      <c r="C107" s="52">
        <v>1933.22</v>
      </c>
      <c r="D107" s="52">
        <v>1933.22</v>
      </c>
      <c r="E107" s="52">
        <v>1933.22</v>
      </c>
      <c r="F107" s="52">
        <v>2236.63</v>
      </c>
      <c r="G107" s="52">
        <v>2236.63</v>
      </c>
      <c r="H107" s="52">
        <v>964.3</v>
      </c>
      <c r="I107" s="52">
        <v>964.29</v>
      </c>
      <c r="J107" s="52">
        <f>B107+C107+D107+E107+F107+G107+H107+I107</f>
        <v>14082.11</v>
      </c>
    </row>
    <row r="108" spans="1:10" ht="16">
      <c r="A108" s="42" t="s">
        <v>105</v>
      </c>
      <c r="B108" s="52">
        <v>2437.31</v>
      </c>
      <c r="C108" s="52">
        <v>4481.42</v>
      </c>
      <c r="D108" s="52">
        <v>1177.87</v>
      </c>
      <c r="E108" s="52">
        <v>8174.11</v>
      </c>
      <c r="F108" s="52">
        <v>11367.52</v>
      </c>
      <c r="G108" s="52">
        <v>5656.51</v>
      </c>
      <c r="H108" s="52">
        <v>8484.31</v>
      </c>
      <c r="I108" s="52">
        <v>3721.53</v>
      </c>
      <c r="J108" s="52">
        <f>B108+C108+D108+E108+F108+G108+H108+I108</f>
        <v>45500.579999999994</v>
      </c>
    </row>
    <row r="109" spans="1:10" ht="16">
      <c r="A109" s="43" t="s">
        <v>106</v>
      </c>
      <c r="B109" s="53">
        <f>B104+B105+B106+B107+B108</f>
        <v>4621.21</v>
      </c>
      <c r="C109" s="53">
        <f>C104+C105+C106+C107+C108</f>
        <v>6872.73</v>
      </c>
      <c r="D109" s="53">
        <f>D104+D105+D106+D107+D108</f>
        <v>3414.39</v>
      </c>
      <c r="E109" s="53">
        <f>E104+E105+E106+E107+E108</f>
        <v>10506.73</v>
      </c>
      <c r="F109" s="53">
        <f>F104+F105+F106+F107+F108</f>
        <v>13907.45</v>
      </c>
      <c r="G109" s="53">
        <f>G104+G105+G106+G107+G108</f>
        <v>8196.44</v>
      </c>
      <c r="H109" s="53">
        <f>H104+H105+H106+H107+H108</f>
        <v>9754.119999999999</v>
      </c>
      <c r="I109" s="53">
        <f>I104+I105+I106+I107+I108</f>
        <v>5363.63</v>
      </c>
      <c r="J109" s="54">
        <f>B109+C109+D109+E109+F109+G109+H109+I109</f>
        <v>62636.69999999999</v>
      </c>
    </row>
    <row r="110" spans="1:10" ht="16">
      <c r="A110" s="41" t="s">
        <v>107</v>
      </c>
      <c r="B110" s="51"/>
      <c r="C110" s="51"/>
      <c r="D110" s="51"/>
      <c r="E110" s="51"/>
      <c r="F110" s="51"/>
      <c r="G110" s="51"/>
      <c r="H110" s="51"/>
      <c r="I110" s="51"/>
      <c r="J110" s="51"/>
    </row>
    <row r="111" spans="1:10" ht="16">
      <c r="A111" s="42" t="s">
        <v>108</v>
      </c>
      <c r="B111" s="52">
        <v>5808.42</v>
      </c>
      <c r="C111" s="52">
        <v>1246.12</v>
      </c>
      <c r="D111" s="52">
        <v>1246.12</v>
      </c>
      <c r="E111" s="52">
        <v>1246.12</v>
      </c>
      <c r="F111" s="52">
        <v>1282.7</v>
      </c>
      <c r="G111" s="52">
        <v>1246.12</v>
      </c>
      <c r="H111" s="52">
        <v>1246.12</v>
      </c>
      <c r="I111" s="51"/>
      <c r="J111" s="52">
        <f>B111+C111+D111+E111+F111+G111+H111+I111</f>
        <v>13321.719999999998</v>
      </c>
    </row>
    <row r="112" spans="1:10" ht="16">
      <c r="A112" s="42" t="s">
        <v>109</v>
      </c>
      <c r="B112" s="52">
        <v>5741.15</v>
      </c>
      <c r="C112" s="52">
        <v>206.15</v>
      </c>
      <c r="D112" s="52">
        <v>1157.65</v>
      </c>
      <c r="E112" s="52">
        <v>1080.65</v>
      </c>
      <c r="F112" s="52">
        <v>1080.65</v>
      </c>
      <c r="G112" s="52">
        <v>1080.65</v>
      </c>
      <c r="H112" s="52">
        <v>1080.65</v>
      </c>
      <c r="I112" s="52">
        <v>1080.65</v>
      </c>
      <c r="J112" s="52">
        <f>B112+C112+D112+E112+F112+G112+H112+I112</f>
        <v>12508.199999999997</v>
      </c>
    </row>
    <row r="113" spans="1:10" ht="16">
      <c r="A113" s="43" t="s">
        <v>110</v>
      </c>
      <c r="B113" s="53">
        <f>B110+B111+B112</f>
        <v>11549.57</v>
      </c>
      <c r="C113" s="53">
        <f>C110+C111+C112</f>
        <v>1452.27</v>
      </c>
      <c r="D113" s="53">
        <f>D110+D111+D112</f>
        <v>2403.77</v>
      </c>
      <c r="E113" s="53">
        <f>E110+E111+E112</f>
        <v>2326.77</v>
      </c>
      <c r="F113" s="53">
        <f>F110+F111+F112</f>
        <v>2363.3500000000004</v>
      </c>
      <c r="G113" s="53">
        <f>G110+G111+G112</f>
        <v>2326.77</v>
      </c>
      <c r="H113" s="53">
        <f>H110+H111+H112</f>
        <v>2326.77</v>
      </c>
      <c r="I113" s="53">
        <f>I110+I111+I112</f>
        <v>1080.65</v>
      </c>
      <c r="J113" s="54">
        <f>B113+C113+D113+E113+F113+G113+H113+I113</f>
        <v>25829.920000000006</v>
      </c>
    </row>
    <row r="114" spans="1:10" ht="16">
      <c r="A114" s="41" t="s">
        <v>111</v>
      </c>
      <c r="B114" s="51"/>
      <c r="C114" s="51"/>
      <c r="D114" s="51"/>
      <c r="E114" s="51"/>
      <c r="F114" s="51"/>
      <c r="G114" s="51"/>
      <c r="H114" s="51"/>
      <c r="I114" s="51"/>
      <c r="J114" s="51"/>
    </row>
    <row r="115" spans="1:10" ht="16">
      <c r="A115" s="42" t="s">
        <v>112</v>
      </c>
      <c r="B115" s="52">
        <v>1623.58</v>
      </c>
      <c r="C115" s="51"/>
      <c r="D115" s="51"/>
      <c r="E115" s="51"/>
      <c r="F115" s="52">
        <v>51.45</v>
      </c>
      <c r="G115" s="52">
        <v>85.7</v>
      </c>
      <c r="H115" s="52">
        <v>100.24</v>
      </c>
      <c r="I115" s="51"/>
      <c r="J115" s="52">
        <f>B115+C115+D115+E115+F115+G115+H115+I115</f>
        <v>1860.97</v>
      </c>
    </row>
    <row r="116" spans="1:10" ht="16">
      <c r="A116" s="42" t="s">
        <v>113</v>
      </c>
      <c r="B116" s="52">
        <v>1515.24</v>
      </c>
      <c r="C116" s="51"/>
      <c r="D116" s="51"/>
      <c r="E116" s="51"/>
      <c r="F116" s="51"/>
      <c r="G116" s="51"/>
      <c r="H116" s="51"/>
      <c r="I116" s="51"/>
      <c r="J116" s="52">
        <f>B116+C116+D116+E116+F116+G116+H116+I116</f>
        <v>1515.24</v>
      </c>
    </row>
    <row r="117" spans="1:10" ht="16">
      <c r="A117" s="43" t="s">
        <v>114</v>
      </c>
      <c r="B117" s="53">
        <f>B114+B115+B116</f>
        <v>3138.8199999999997</v>
      </c>
      <c r="C117" s="54">
        <f>C114+C115+C116</f>
        <v>0.0</v>
      </c>
      <c r="D117" s="54">
        <f>D114+D115+D116</f>
        <v>0.0</v>
      </c>
      <c r="E117" s="54">
        <f>E114+E115+E116</f>
        <v>0.0</v>
      </c>
      <c r="F117" s="53">
        <f>F114+F115+F116</f>
        <v>51.45</v>
      </c>
      <c r="G117" s="53">
        <f>G114+G115+G116</f>
        <v>85.7</v>
      </c>
      <c r="H117" s="53">
        <f>H114+H115+H116</f>
        <v>100.24</v>
      </c>
      <c r="I117" s="54">
        <f>I114+I115+I116</f>
        <v>0.0</v>
      </c>
      <c r="J117" s="54">
        <f>B117+C117+D117+E117+F117+G117+H117+I117</f>
        <v>3376.209999999999</v>
      </c>
    </row>
    <row r="118" spans="1:10" ht="16">
      <c r="A118" s="41" t="s">
        <v>115</v>
      </c>
      <c r="B118" s="52">
        <v>19.99</v>
      </c>
      <c r="C118" s="52">
        <v>19.99</v>
      </c>
      <c r="D118" s="52">
        <v>129.94</v>
      </c>
      <c r="E118" s="52">
        <v>19.99</v>
      </c>
      <c r="F118" s="52">
        <v>19.99</v>
      </c>
      <c r="G118" s="52">
        <v>19.99</v>
      </c>
      <c r="H118" s="52">
        <v>19.99</v>
      </c>
      <c r="I118" s="52">
        <v>19.99</v>
      </c>
      <c r="J118" s="52">
        <f>B118+C118+D118+E118+F118+G118+H118+I118</f>
        <v>269.87</v>
      </c>
    </row>
    <row r="119" spans="1:10" ht="16">
      <c r="A119" s="41" t="s">
        <v>116</v>
      </c>
      <c r="B119" s="52">
        <v>73.8</v>
      </c>
      <c r="C119" s="52">
        <v>-57.59</v>
      </c>
      <c r="D119" s="52">
        <v>1.08</v>
      </c>
      <c r="E119" s="51"/>
      <c r="F119" s="52">
        <v>8897.9</v>
      </c>
      <c r="G119" s="52">
        <v>57.61</v>
      </c>
      <c r="H119" s="52">
        <v>87.51</v>
      </c>
      <c r="I119" s="51"/>
      <c r="J119" s="52">
        <f>B119+C119+D119+E119+F119+G119+H119+I119</f>
        <v>9060.310000000001</v>
      </c>
    </row>
    <row r="120" spans="1:10" ht="16">
      <c r="A120" s="46" t="s">
        <v>117</v>
      </c>
      <c r="B120" s="53">
        <f>B74+B77+B80+B81+B82+B86+B95+B96+B103+B109+B113+B117+B118+B119</f>
        <v>34398.97</v>
      </c>
      <c r="C120" s="53">
        <f>C74+C77+C80+C81+C82+C86+C95+C96+C103+C109+C113+C117+C118+C119</f>
        <v>22017.44</v>
      </c>
      <c r="D120" s="53">
        <f>D74+D77+D80+D81+D82+D86+D95+D96+D103+D109+D113+D117+D118+D119</f>
        <v>20418.04</v>
      </c>
      <c r="E120" s="53">
        <f>E74+E77+E80+E81+E82+E86+E95+E96+E103+E109+E113+E117+E118+E119</f>
        <v>31955.24</v>
      </c>
      <c r="F120" s="53">
        <f>F74+F77+F80+F81+F82+F86+F95+F96+F103+F109+F113+F117+F118+F119</f>
        <v>39913.58</v>
      </c>
      <c r="G120" s="53">
        <f>G74+G77+G80+G81+G82+G86+G95+G96+G103+G109+G113+G117+G118+G119</f>
        <v>28138.670000000002</v>
      </c>
      <c r="H120" s="53">
        <f>H74+H77+H80+H81+H82+H86+H95+H96+H103+H109+H113+H117+H118+H119</f>
        <v>29092.72</v>
      </c>
      <c r="I120" s="53">
        <f>I74+I77+I80+I81+I82+I86+I95+I96+I103+I109+I113+I117+I118+I119</f>
        <v>24725.240000000005</v>
      </c>
      <c r="J120" s="54">
        <f>B120+C120+D120+E120+F120+G120+H120+I120</f>
        <v>230659.90000000002</v>
      </c>
    </row>
    <row r="121" spans="1:10" ht="16">
      <c r="A121" s="47" t="s">
        <v>118</v>
      </c>
      <c r="B121" s="53">
        <f>B66+B73+B120</f>
        <v>36573.020000000004</v>
      </c>
      <c r="C121" s="53">
        <f>C66+C73+C120</f>
        <v>24168.239999999998</v>
      </c>
      <c r="D121" s="53">
        <f>D66+D73+D120</f>
        <v>21512.420000000002</v>
      </c>
      <c r="E121" s="53">
        <f>E66+E73+E120</f>
        <v>34599.86</v>
      </c>
      <c r="F121" s="53">
        <f>F66+F73+F120</f>
        <v>42928.21</v>
      </c>
      <c r="G121" s="53">
        <f>G66+G73+G120</f>
        <v>29491.010000000002</v>
      </c>
      <c r="H121" s="53">
        <f>H66+H73+H120</f>
        <v>30331.58</v>
      </c>
      <c r="I121" s="53">
        <f>I66+I73+I120</f>
        <v>25682.040000000005</v>
      </c>
      <c r="J121" s="54">
        <f>B121+C121+D121+E121+F121+G121+H121+I121</f>
        <v>245286.38000000003</v>
      </c>
    </row>
    <row r="122" spans="1:10" ht="16">
      <c r="A122" s="47" t="s">
        <v>119</v>
      </c>
      <c r="B122" s="53">
        <f>B65-B121</f>
        <v>25715.34000000001</v>
      </c>
      <c r="C122" s="53">
        <f>C65-C121</f>
        <v>35774.9</v>
      </c>
      <c r="D122" s="53">
        <f>D65-D121</f>
        <v>29874.739999999987</v>
      </c>
      <c r="E122" s="53">
        <f>E65-E121</f>
        <v>12573.559999999983</v>
      </c>
      <c r="F122" s="53">
        <f>F65-F121</f>
        <v>22358.700000000004</v>
      </c>
      <c r="G122" s="53">
        <f>G65-G121</f>
        <v>29992.439999999995</v>
      </c>
      <c r="H122" s="53">
        <f>H65-H121</f>
        <v>8876.900000000023</v>
      </c>
      <c r="I122" s="53">
        <f>I65-I121</f>
        <v>43435.110000000015</v>
      </c>
      <c r="J122" s="54">
        <f>B122+C122+D122+E122+F122+G122+H122+I122</f>
        <v>208601.69000000003</v>
      </c>
    </row>
    <row r="123" spans="1:9" ht="16">
      <c r="A123" s="39" t="s">
        <v>120</v>
      </c>
      <c r="B123" s="51"/>
      <c r="C123" s="51"/>
      <c r="D123" s="51"/>
      <c r="E123" s="51"/>
      <c r="F123" s="51"/>
      <c r="G123" s="51"/>
      <c r="H123" s="51"/>
      <c r="I123" s="51"/>
    </row>
    <row r="124" spans="1:10" ht="16">
      <c r="A124" s="40" t="s">
        <v>121</v>
      </c>
      <c r="B124" s="51"/>
      <c r="C124" s="51"/>
      <c r="D124" s="51"/>
      <c r="E124" s="51"/>
      <c r="F124" s="51"/>
      <c r="G124" s="51"/>
      <c r="H124" s="51"/>
      <c r="I124" s="51"/>
      <c r="J124" s="51"/>
    </row>
    <row r="125" spans="1:10" ht="16">
      <c r="A125" s="41" t="s">
        <v>122</v>
      </c>
      <c r="B125" s="52">
        <v>27.59</v>
      </c>
      <c r="C125" s="52">
        <v>14.9</v>
      </c>
      <c r="D125" s="52">
        <v>15.02</v>
      </c>
      <c r="E125" s="52">
        <v>16.98</v>
      </c>
      <c r="F125" s="52">
        <v>17.14</v>
      </c>
      <c r="G125" s="52">
        <v>12.38</v>
      </c>
      <c r="H125" s="52">
        <v>6.64</v>
      </c>
      <c r="I125" s="52">
        <v>7.48</v>
      </c>
      <c r="J125" s="52">
        <f>B125+C125+D125+E125+F125+G125+H125+I125</f>
        <v>118.13000000000001</v>
      </c>
    </row>
    <row r="126" spans="1:10" ht="16">
      <c r="A126" s="41" t="s">
        <v>123</v>
      </c>
      <c r="B126" s="51"/>
      <c r="C126" s="51"/>
      <c r="D126" s="51"/>
      <c r="E126" s="52">
        <v>11613.05</v>
      </c>
      <c r="F126" s="51"/>
      <c r="G126" s="51"/>
      <c r="H126" s="51"/>
      <c r="I126" s="51"/>
      <c r="J126" s="52">
        <f>B126+C126+D126+E126+F126+G126+H126+I126</f>
        <v>11613.05</v>
      </c>
    </row>
    <row r="127" spans="1:10" ht="16">
      <c r="A127" s="46" t="s">
        <v>124</v>
      </c>
      <c r="B127" s="53">
        <f>B124+B125+B126</f>
        <v>27.59</v>
      </c>
      <c r="C127" s="53">
        <f>C124+C125+C126</f>
        <v>14.9</v>
      </c>
      <c r="D127" s="53">
        <f>D124+D125+D126</f>
        <v>15.02</v>
      </c>
      <c r="E127" s="53">
        <f>E124+E125+E126</f>
        <v>11630.029999999999</v>
      </c>
      <c r="F127" s="53">
        <f>F124+F125+F126</f>
        <v>17.14</v>
      </c>
      <c r="G127" s="53">
        <f>G124+G125+G126</f>
        <v>12.38</v>
      </c>
      <c r="H127" s="53">
        <f>H124+H125+H126</f>
        <v>6.64</v>
      </c>
      <c r="I127" s="53">
        <f>I124+I125+I126</f>
        <v>7.48</v>
      </c>
      <c r="J127" s="54">
        <f>B127+C127+D127+E127+F127+G127+H127+I127</f>
        <v>11731.179999999997</v>
      </c>
    </row>
    <row r="128" spans="1:10" ht="16">
      <c r="A128" s="47" t="s">
        <v>125</v>
      </c>
      <c r="B128" s="53">
        <f>B123+B127</f>
        <v>27.59</v>
      </c>
      <c r="C128" s="53">
        <f>C123+C127</f>
        <v>14.9</v>
      </c>
      <c r="D128" s="53">
        <f>D123+D127</f>
        <v>15.02</v>
      </c>
      <c r="E128" s="53">
        <f>E123+E127</f>
        <v>11630.029999999999</v>
      </c>
      <c r="F128" s="53">
        <f>F123+F127</f>
        <v>17.14</v>
      </c>
      <c r="G128" s="53">
        <f>G123+G127</f>
        <v>12.38</v>
      </c>
      <c r="H128" s="53">
        <f>H123+H127</f>
        <v>6.64</v>
      </c>
      <c r="I128" s="53">
        <f>I123+I127</f>
        <v>7.48</v>
      </c>
      <c r="J128" s="54">
        <f>B128+C128+D128+E128+F128+G128+H128+I128</f>
        <v>11731.179999999997</v>
      </c>
    </row>
    <row r="129" spans="1:9" ht="16">
      <c r="A129" s="39" t="s">
        <v>126</v>
      </c>
      <c r="B129" s="51"/>
      <c r="C129" s="51"/>
      <c r="D129" s="51"/>
      <c r="E129" s="51"/>
      <c r="F129" s="51"/>
      <c r="G129" s="51"/>
      <c r="H129" s="51"/>
      <c r="I129" s="51"/>
    </row>
    <row r="130" spans="1:10" ht="16">
      <c r="A130" s="40" t="s">
        <v>127</v>
      </c>
      <c r="B130" s="51"/>
      <c r="C130" s="51"/>
      <c r="D130" s="51"/>
      <c r="E130" s="51"/>
      <c r="F130" s="51"/>
      <c r="G130" s="51"/>
      <c r="H130" s="51"/>
      <c r="I130" s="51"/>
      <c r="J130" s="51"/>
    </row>
    <row r="131" spans="1:10" ht="16">
      <c r="A131" s="41" t="s">
        <v>128</v>
      </c>
      <c r="B131" s="51"/>
      <c r="C131" s="51"/>
      <c r="D131" s="51"/>
      <c r="E131" s="51"/>
      <c r="F131" s="51"/>
      <c r="G131" s="51"/>
      <c r="H131" s="51"/>
      <c r="I131" s="51"/>
      <c r="J131" s="51"/>
    </row>
    <row r="132" spans="1:10" ht="16">
      <c r="A132" s="42" t="s">
        <v>129</v>
      </c>
      <c r="B132" s="52">
        <v>8461.54</v>
      </c>
      <c r="C132" s="52">
        <v>8461.54</v>
      </c>
      <c r="D132" s="52">
        <v>8658.91</v>
      </c>
      <c r="E132" s="52">
        <v>8390.88</v>
      </c>
      <c r="F132" s="52">
        <v>8461.54</v>
      </c>
      <c r="G132" s="52">
        <v>9061.54</v>
      </c>
      <c r="H132" s="52">
        <v>13817.31</v>
      </c>
      <c r="I132" s="52">
        <v>7261.54</v>
      </c>
      <c r="J132" s="52">
        <f>B132+C132+D132+E132+F132+G132+H132+I132</f>
        <v>72574.8</v>
      </c>
    </row>
    <row r="133" spans="1:10" ht="16">
      <c r="A133" s="42" t="s">
        <v>130</v>
      </c>
      <c r="B133" s="52">
        <v>637.69</v>
      </c>
      <c r="C133" s="52">
        <v>601.42</v>
      </c>
      <c r="D133" s="52">
        <v>601.42</v>
      </c>
      <c r="E133" s="52">
        <v>601.42</v>
      </c>
      <c r="F133" s="52">
        <v>601.42</v>
      </c>
      <c r="G133" s="52">
        <v>601.42</v>
      </c>
      <c r="H133" s="52">
        <v>902.13</v>
      </c>
      <c r="I133" s="52">
        <v>509.62</v>
      </c>
      <c r="J133" s="52">
        <f>B133+C133+D133+E133+F133+G133+H133+I133</f>
        <v>5056.54</v>
      </c>
    </row>
    <row r="134" spans="1:10" ht="16">
      <c r="A134" s="42" t="s">
        <v>131</v>
      </c>
      <c r="B134" s="52">
        <v>36.58</v>
      </c>
      <c r="C134" s="52">
        <v>36.58</v>
      </c>
      <c r="D134" s="52">
        <v>36.58</v>
      </c>
      <c r="E134" s="52">
        <v>36.58</v>
      </c>
      <c r="F134" s="51"/>
      <c r="G134" s="52">
        <v>36.58</v>
      </c>
      <c r="H134" s="52">
        <v>36.58</v>
      </c>
      <c r="I134" s="52">
        <v>36.58</v>
      </c>
      <c r="J134" s="52">
        <f>B134+C134+D134+E134+F134+G134+H134+I134</f>
        <v>256.05999999999995</v>
      </c>
    </row>
    <row r="135" spans="1:10" ht="16">
      <c r="A135" s="43" t="s">
        <v>132</v>
      </c>
      <c r="B135" s="53">
        <f>B131+B132+B133+B134</f>
        <v>9135.810000000001</v>
      </c>
      <c r="C135" s="53">
        <f>C131+C132+C133+C134</f>
        <v>9099.54</v>
      </c>
      <c r="D135" s="53">
        <f>D131+D132+D133+D134</f>
        <v>9296.91</v>
      </c>
      <c r="E135" s="53">
        <f>E131+E132+E133+E134</f>
        <v>9028.88</v>
      </c>
      <c r="F135" s="53">
        <f>F131+F132+F133+F134</f>
        <v>9062.960000000001</v>
      </c>
      <c r="G135" s="53">
        <f>G131+G132+G133+G134</f>
        <v>9699.54</v>
      </c>
      <c r="H135" s="53">
        <f>H131+H132+H133+H134</f>
        <v>14756.019999999999</v>
      </c>
      <c r="I135" s="53">
        <f>I131+I132+I133+I134</f>
        <v>7807.74</v>
      </c>
      <c r="J135" s="54">
        <f>B135+C135+D135+E135+F135+G135+H135+I135</f>
        <v>77887.40000000001</v>
      </c>
    </row>
    <row r="136" spans="1:10" ht="16">
      <c r="A136" s="41" t="s">
        <v>133</v>
      </c>
      <c r="B136" s="52">
        <v>14530.07</v>
      </c>
      <c r="C136" s="52">
        <v>13977.29</v>
      </c>
      <c r="D136" s="52">
        <v>12884.88</v>
      </c>
      <c r="E136" s="52">
        <v>13967.89</v>
      </c>
      <c r="F136" s="52">
        <v>13362.33</v>
      </c>
      <c r="G136" s="52">
        <v>14294.16</v>
      </c>
      <c r="H136" s="52">
        <v>13665.06</v>
      </c>
      <c r="I136" s="52">
        <v>13647.96</v>
      </c>
      <c r="J136" s="52">
        <f>B136+C136+D136+E136+F136+G136+H136+I136</f>
        <v>110329.63999999998</v>
      </c>
    </row>
    <row r="137" spans="1:10" ht="16">
      <c r="A137" s="46" t="s">
        <v>134</v>
      </c>
      <c r="B137" s="53">
        <f>B130+B135+B136</f>
        <v>23665.88</v>
      </c>
      <c r="C137" s="53">
        <f>C130+C135+C136</f>
        <v>23076.83</v>
      </c>
      <c r="D137" s="53">
        <f>D130+D135+D136</f>
        <v>22181.79</v>
      </c>
      <c r="E137" s="53">
        <f>E130+E135+E136</f>
        <v>22996.769999999997</v>
      </c>
      <c r="F137" s="53">
        <f>F130+F135+F136</f>
        <v>22425.29</v>
      </c>
      <c r="G137" s="53">
        <f>G130+G135+G136</f>
        <v>23993.7</v>
      </c>
      <c r="H137" s="53">
        <f>H130+H135+H136</f>
        <v>28421.079999999998</v>
      </c>
      <c r="I137" s="53">
        <f>I130+I135+I136</f>
        <v>21455.699999999997</v>
      </c>
      <c r="J137" s="54">
        <f>B137+C137+D137+E137+F137+G137+H137+I137</f>
        <v>188217.03999999998</v>
      </c>
    </row>
    <row r="138" spans="1:10" ht="16">
      <c r="A138" s="47" t="s">
        <v>135</v>
      </c>
      <c r="B138" s="53">
        <f>B129+B137</f>
        <v>23665.88</v>
      </c>
      <c r="C138" s="53">
        <f>C129+C137</f>
        <v>23076.83</v>
      </c>
      <c r="D138" s="53">
        <f>D129+D137</f>
        <v>22181.79</v>
      </c>
      <c r="E138" s="53">
        <f>E129+E137</f>
        <v>22996.769999999997</v>
      </c>
      <c r="F138" s="53">
        <f>F129+F137</f>
        <v>22425.29</v>
      </c>
      <c r="G138" s="53">
        <f>G129+G137</f>
        <v>23993.7</v>
      </c>
      <c r="H138" s="53">
        <f>H129+H137</f>
        <v>28421.079999999998</v>
      </c>
      <c r="I138" s="53">
        <f>I129+I137</f>
        <v>21455.699999999997</v>
      </c>
      <c r="J138" s="54">
        <f>B138+C138+D138+E138+F138+G138+H138+I138</f>
        <v>188217.03999999998</v>
      </c>
    </row>
    <row r="139" spans="1:10" ht="16">
      <c r="A139" s="47" t="s">
        <v>136</v>
      </c>
      <c r="B139" s="53">
        <f>B128-B138</f>
        <v>-23638.29</v>
      </c>
      <c r="C139" s="53">
        <f>C128-C138</f>
        <v>-23061.93</v>
      </c>
      <c r="D139" s="53">
        <f>D128-D138</f>
        <v>-22166.77</v>
      </c>
      <c r="E139" s="53">
        <f>E128-E138</f>
        <v>-11366.739999999998</v>
      </c>
      <c r="F139" s="53">
        <f>F128-F138</f>
        <v>-22408.15</v>
      </c>
      <c r="G139" s="53">
        <f>G128-G138</f>
        <v>-23981.32</v>
      </c>
      <c r="H139" s="53">
        <f>H128-H138</f>
        <v>-28414.44</v>
      </c>
      <c r="I139" s="53">
        <f>I128-I138</f>
        <v>-21448.219999999998</v>
      </c>
      <c r="J139" s="54">
        <f>B139+C139+D139+E139+F139+G139+H139+I139</f>
        <v>-176485.86000000002</v>
      </c>
    </row>
    <row r="140" spans="1:10" ht="16">
      <c r="A140" s="47" t="s">
        <v>137</v>
      </c>
      <c r="B140" s="53">
        <f>B122+B139</f>
        <v>2077.05000000001</v>
      </c>
      <c r="C140" s="53">
        <f>C122+C139</f>
        <v>12712.970000000001</v>
      </c>
      <c r="D140" s="53">
        <f>D122+D139</f>
        <v>7707.969999999987</v>
      </c>
      <c r="E140" s="53">
        <f>E122+E139</f>
        <v>1206.8199999999852</v>
      </c>
      <c r="F140" s="53">
        <f>F122+F139</f>
        <v>-49.44999999999709</v>
      </c>
      <c r="G140" s="53">
        <f>G122+G139</f>
        <v>6011.119999999995</v>
      </c>
      <c r="H140" s="53">
        <f>H122+H139</f>
        <v>-19537.539999999975</v>
      </c>
      <c r="I140" s="53">
        <f>I122+I139</f>
        <v>21986.890000000018</v>
      </c>
      <c r="J140" s="54">
        <f>B140+C140+D140+E140+F140+G140+H140+I140</f>
        <v>32115.830000000024</v>
      </c>
    </row>
    <row r="144" spans="1:1" ht="16">
      <c r="A144" s="56" t="s">
        <v>148</v>
      </c>
    </row>
  </sheetData>
  <mergeCells count="4">
    <mergeCell ref="A1:J1"/>
    <mergeCell ref="A2:J2"/>
    <mergeCell ref="A3:J3"/>
    <mergeCell ref="A144:J144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