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141" i="1" l="1"/>
</calcChain>
</file>

<file path=xl/sharedStrings.xml><?xml version="1.0" encoding="utf-8"?>
<sst xmlns="http://schemas.openxmlformats.org/spreadsheetml/2006/main" count="178" uniqueCount="178">
  <si>
    <t>Hoodz of Kansas City</t>
  </si>
  <si>
    <t>Profit and Loss</t>
  </si>
  <si>
    <t>January-August, 2026</t>
  </si>
  <si>
    <t>Income</t>
  </si>
  <si>
    <t>4000 Sales</t>
  </si>
  <si>
    <t>4002 Services &amp; Fees</t>
  </si>
  <si>
    <t>4003 Hood System Cleaning</t>
  </si>
  <si>
    <t>4004 Hood System Inspection</t>
  </si>
  <si>
    <t>4005 Hood System Repair</t>
  </si>
  <si>
    <t>4011 Oven Cleaning &amp; Repair</t>
  </si>
  <si>
    <t>4013 Surface Cleaning</t>
  </si>
  <si>
    <t>4016 Other Services</t>
  </si>
  <si>
    <t>4060 Fees</t>
  </si>
  <si>
    <t>Total for 4002 Services &amp; Fees</t>
  </si>
  <si>
    <t>4020 Products &amp; Parts</t>
  </si>
  <si>
    <t>4030 Grease Containment</t>
  </si>
  <si>
    <t>4031 Grease Containment System</t>
  </si>
  <si>
    <t>4032 Grease Containment Pillows</t>
  </si>
  <si>
    <t>Total for 4030 Grease Containment</t>
  </si>
  <si>
    <t>4040 Parts</t>
  </si>
  <si>
    <t>4043 Exhaust Fan Hinges</t>
  </si>
  <si>
    <t>4045 Other Parts &amp; Supplies</t>
  </si>
  <si>
    <t>4048 Baffle-Type Hood Filters</t>
  </si>
  <si>
    <t>Total for 4040 Parts</t>
  </si>
  <si>
    <t>Total for 4020 Products &amp; Parts</t>
  </si>
  <si>
    <t>4070 Discounts</t>
  </si>
  <si>
    <t>Total for 4000 Sales</t>
  </si>
  <si>
    <t>4980 Unapplied Cash Payment Income</t>
  </si>
  <si>
    <t>Sales of Product Income</t>
  </si>
  <si>
    <t>Total for Income</t>
  </si>
  <si>
    <t>Cost of Goods Sold</t>
  </si>
  <si>
    <t>5000 Job Supplies &amp; Materials</t>
  </si>
  <si>
    <t>5009 Consumables &amp; Small Tools</t>
  </si>
  <si>
    <t>5001 Chemicals</t>
  </si>
  <si>
    <t>5002 Consumable Job Supplies</t>
  </si>
  <si>
    <t>5003 Equipment Repairs &amp; Maintenance</t>
  </si>
  <si>
    <t>5004 Small Job Tools</t>
  </si>
  <si>
    <t>Total for 5009 Consumables &amp; Small Tools</t>
  </si>
  <si>
    <t>5010 Grease Containment (COGS)</t>
  </si>
  <si>
    <t>5020 Parts &amp; Supply Cost</t>
  </si>
  <si>
    <t>5025 Filter Inventory</t>
  </si>
  <si>
    <t>5027 PCU Type Filters</t>
  </si>
  <si>
    <t>Total for 5025 Filter Inventory</t>
  </si>
  <si>
    <t>5035 Soak Tank</t>
  </si>
  <si>
    <t>5037 Soak Tank Chemicals</t>
  </si>
  <si>
    <t>Total for 5035 Soak Tank</t>
  </si>
  <si>
    <t>Total for 5020 Parts &amp; Supply Cost</t>
  </si>
  <si>
    <t>Total for 5000 Job Supplies &amp; Materials</t>
  </si>
  <si>
    <t>5030 Other Job Related Expenses</t>
  </si>
  <si>
    <t>5050 Direct Rental - Equip/Machinery</t>
  </si>
  <si>
    <t>5060 Direct Personnel Cost</t>
  </si>
  <si>
    <t>5061 Technician Labor</t>
  </si>
  <si>
    <t>5063 Technician Employer Payroll Tax</t>
  </si>
  <si>
    <t>5065 Subcontractor</t>
  </si>
  <si>
    <t>Total for 5060 Direct Personnel Cost</t>
  </si>
  <si>
    <t>5070 Direct Transportation Cost</t>
  </si>
  <si>
    <t>5071 Direct Fuel Expense</t>
  </si>
  <si>
    <t>5074 Direct Meal (50%)</t>
  </si>
  <si>
    <t>5076 Direct Expense Parking &amp; Tolls</t>
  </si>
  <si>
    <t>Total for 5070 Direct Transportation Cost</t>
  </si>
  <si>
    <t>5080 Credit Card Processing Fees</t>
  </si>
  <si>
    <t>5100 Royalty</t>
  </si>
  <si>
    <t>Total for Cost of Goods Sold</t>
  </si>
  <si>
    <t>Gross Profit</t>
  </si>
  <si>
    <t>Expenses</t>
  </si>
  <si>
    <t>6000 Marketing and Sales</t>
  </si>
  <si>
    <t>6100 Marketing</t>
  </si>
  <si>
    <t>6102 Internet Advertising</t>
  </si>
  <si>
    <t>6106 Trade Shows</t>
  </si>
  <si>
    <t>6108 Print Advertising</t>
  </si>
  <si>
    <t>Total for 6100 Marketing</t>
  </si>
  <si>
    <t>Total for 6000 Marketing and Sales</t>
  </si>
  <si>
    <t>6400 General &amp; Administrative</t>
  </si>
  <si>
    <t>6410 Administrative Salary &amp; Benefits</t>
  </si>
  <si>
    <t>6414 Virtual Assistant</t>
  </si>
  <si>
    <t>Total for 6410 Administrative Salary &amp; Benefits</t>
  </si>
  <si>
    <t>6421 Travel Expense</t>
  </si>
  <si>
    <t>6422 Travel Meals</t>
  </si>
  <si>
    <t>Total for 6421 Travel Expense</t>
  </si>
  <si>
    <t>6430 Bank Charges and Fees</t>
  </si>
  <si>
    <t>6440 Bad Debt</t>
  </si>
  <si>
    <t>6460 Legal &amp; Professional Fees</t>
  </si>
  <si>
    <t>6461 Accounting</t>
  </si>
  <si>
    <t>6462 Legal</t>
  </si>
  <si>
    <t>Total for 6460 Legal &amp; Professional Fees</t>
  </si>
  <si>
    <t>6470 Office Expense</t>
  </si>
  <si>
    <t>6471 Office / Storage Rent</t>
  </si>
  <si>
    <t>6473 Office Supplies</t>
  </si>
  <si>
    <t>6474 Minor Office Equipment</t>
  </si>
  <si>
    <t>6475 Communications</t>
  </si>
  <si>
    <t>6476 Gas, Water, Electricity, Trash</t>
  </si>
  <si>
    <t>6477 Internet Expense</t>
  </si>
  <si>
    <t>6478 Software Fees</t>
  </si>
  <si>
    <t>Total for 6470 Office Expense</t>
  </si>
  <si>
    <t>6481 Payroll Processing Fees</t>
  </si>
  <si>
    <t>6490 Employee Related Expenses</t>
  </si>
  <si>
    <t>6492 Education &amp; Training</t>
  </si>
  <si>
    <t>6493 Uniforms &amp; Logoed Apparel</t>
  </si>
  <si>
    <t>6,493.10 Technician Uniforms</t>
  </si>
  <si>
    <t>Total for 6493 Uniforms &amp; Logoed Apparel</t>
  </si>
  <si>
    <t>6496 Employee Morale</t>
  </si>
  <si>
    <t>Total for 6490 Employee Related Expenses</t>
  </si>
  <si>
    <t>6500 Vehicle Expenses</t>
  </si>
  <si>
    <t>6501 Vehicle Lease</t>
  </si>
  <si>
    <t>6502 Vehicle Fuel</t>
  </si>
  <si>
    <t>6503 Vehicle Insurance</t>
  </si>
  <si>
    <t>6504 Vehicle Repairs &amp; Maintenance</t>
  </si>
  <si>
    <t>Total for 6500 Vehicle Expenses</t>
  </si>
  <si>
    <t>6510 Insurance</t>
  </si>
  <si>
    <t>6511 General Liability</t>
  </si>
  <si>
    <t>6515 Workers Comp</t>
  </si>
  <si>
    <t>Total for 6510 Insurance</t>
  </si>
  <si>
    <t>6530 Business Taxes &amp; Licenses</t>
  </si>
  <si>
    <t>6533 Licenses and Permits</t>
  </si>
  <si>
    <t>6534 Property Tax</t>
  </si>
  <si>
    <t>Total for 6530 Business Taxes &amp; Licenses</t>
  </si>
  <si>
    <t>6540 Dues &amp; Subscriptions</t>
  </si>
  <si>
    <t>6550 Tools &amp; Equipment</t>
  </si>
  <si>
    <t>Total for 6400 General &amp; Administrative</t>
  </si>
  <si>
    <t>Total for Expenses</t>
  </si>
  <si>
    <t>Net Operating Income</t>
  </si>
  <si>
    <t>Other Income</t>
  </si>
  <si>
    <t>7000 Other Income</t>
  </si>
  <si>
    <t>7010 Interest Income</t>
  </si>
  <si>
    <t>7040 Insurance Payout</t>
  </si>
  <si>
    <t>Total for 7000 Other Income</t>
  </si>
  <si>
    <t>Total for Other Income</t>
  </si>
  <si>
    <t>Other Expenses</t>
  </si>
  <si>
    <t>8000 Other Expense</t>
  </si>
  <si>
    <t>8010 Owner Payroll</t>
  </si>
  <si>
    <t>8011 Owner Wages</t>
  </si>
  <si>
    <t>8012 Owner Payroll Taxes</t>
  </si>
  <si>
    <t>8013 Owner Insurance</t>
  </si>
  <si>
    <t>Total for 8010 Owner Payroll</t>
  </si>
  <si>
    <t>8030 Interest Expense</t>
  </si>
  <si>
    <t>Total for 8000 Other Expense</t>
  </si>
  <si>
    <t>Total for Other Expenses</t>
  </si>
  <si>
    <t>Net Other Income</t>
  </si>
  <si>
    <t>Net Income</t>
  </si>
  <si>
    <t/>
  </si>
  <si>
    <t>Jan 1-4 2026</t>
  </si>
  <si>
    <t>Jan 5-11 2026</t>
  </si>
  <si>
    <t>Jan 12-18 2026</t>
  </si>
  <si>
    <t>Jan 19-25 2026</t>
  </si>
  <si>
    <t>Jan 26 - Feb 1 2026</t>
  </si>
  <si>
    <t>Feb 2-8 2026</t>
  </si>
  <si>
    <t>Feb 9-15 2026</t>
  </si>
  <si>
    <t>Feb 16-22 2026</t>
  </si>
  <si>
    <t>Feb 23 - Mar 1 2026</t>
  </si>
  <si>
    <t>Mar 2-8 2026</t>
  </si>
  <si>
    <t>Mar 9-15 2026</t>
  </si>
  <si>
    <t>Mar 16-22 2026</t>
  </si>
  <si>
    <t>Mar 23-29 2026</t>
  </si>
  <si>
    <t>Mar 30 - Apr 5 2026</t>
  </si>
  <si>
    <t>Apr 6-12 2026</t>
  </si>
  <si>
    <t>Apr 13-19 2026</t>
  </si>
  <si>
    <t>Apr 20-26 2026</t>
  </si>
  <si>
    <t>Apr 27 - May 3 2026</t>
  </si>
  <si>
    <t>May 4-10 2026</t>
  </si>
  <si>
    <t>May 11-17 2026</t>
  </si>
  <si>
    <t>May 18-24 2026</t>
  </si>
  <si>
    <t>May 25-31 2026</t>
  </si>
  <si>
    <t>Jun 1-7 2026</t>
  </si>
  <si>
    <t>Jun 8-14 2026</t>
  </si>
  <si>
    <t>Jun 15-21 2026</t>
  </si>
  <si>
    <t>Jun 22-28 2026</t>
  </si>
  <si>
    <t>Jun 29 - Jul 5 2026</t>
  </si>
  <si>
    <t>Jul 6-12 2026</t>
  </si>
  <si>
    <t>Jul 13-19 2026</t>
  </si>
  <si>
    <t>Jul 20-26 2026</t>
  </si>
  <si>
    <t>Jul 27 - Aug 2 2026</t>
  </si>
  <si>
    <t>Aug 3-9 2026</t>
  </si>
  <si>
    <t>Aug 10-16 2026</t>
  </si>
  <si>
    <t>Aug 17-23 2026</t>
  </si>
  <si>
    <t>Aug 24-30 2026</t>
  </si>
  <si>
    <t>Aug 31-31 2026</t>
  </si>
  <si>
    <t>Total</t>
  </si>
  <si>
    <t>Cash Basis Wednesday, September 16, 2026 08:41 AM GMT-05:00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</si>
</sst>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&quot;$&quot;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59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178" fontId="0" fillId="0" borderId="0" xfId="0" applyNumberFormat="1"/>
    <xf numFmtId="178" fontId="3" fillId="0" borderId="0" xfId="0" applyNumberFormat="1" applyFont="1"/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0" fontId="0" fillId="0" borderId="0" xfId="0" applyAlignment="1">
      <alignment horizontal="left" indent="3"/>
    </xf>
    <xf numFmtId="0" fontId="3" fillId="0" borderId="0" xfId="0" applyFont="1" applyAlignment="1">
      <alignment horizontal="left" indent="3"/>
    </xf>
    <xf numFmtId="0" fontId="2" fillId="0" borderId="0" xfId="0" applyFont="1" applyAlignment="1">
      <alignment horizontal="left" indent="2"/>
    </xf>
    <xf numFmtId="0" fontId="5" fillId="0" borderId="0" xfId="0" applyFont="1" applyAlignment="1">
      <alignment horizontal="left" indent="2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5" fillId="0" borderId="2" xfId="0" applyNumberFormat="1" applyFont="1" applyBorder="1"/>
    <xf numFmtId="178" fontId="2" fillId="0" borderId="0" xfId="0" applyNumberFormat="1" applyFont="1"/>
    <xf numFmtId="178" fontId="2" fillId="0" borderId="2" xfId="0" applyNumberFormat="1" applyFont="1" applyBorder="1"/>
    <xf numFmtId="178" fontId="5" fillId="0" borderId="2" xfId="0" applyNumberFormat="1" applyFont="1" applyBorder="1"/>
    <xf numFmtId="0" fontId="0" fillId="0" borderId="0" xfId="0" applyAlignment="1">
      <alignment horizontal="left" indent="4"/>
    </xf>
    <xf numFmtId="0" fontId="3" fillId="0" borderId="0" xfId="0" applyFont="1" applyAlignment="1">
      <alignment horizontal="left" indent="4"/>
    </xf>
    <xf numFmtId="0" fontId="2" fillId="0" borderId="0" xfId="0" applyFont="1" applyAlignment="1">
      <alignment horizontal="left" indent="3"/>
    </xf>
    <xf numFmtId="0" fontId="5" fillId="0" borderId="0" xfId="0" applyFont="1" applyAlignment="1">
      <alignment horizontal="left" indent="3"/>
    </xf>
    <xf numFmtId="0" fontId="2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  <xf numFmtId="177" fontId="3" fillId="0" borderId="0" xfId="0" applyNumberFormat="1" applyFont="1"/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2" fillId="0" borderId="1" xfId="20">
      <alignment/>
      <protection/>
    </xf>
    <xf numFmtId="0" fontId="4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4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2"/>
    </xf>
    <xf numFmtId="0" fontId="3" fillId="0" borderId="0" xfId="0" applyFont="1" applyAlignment="1">
      <alignment horizontal="left" wrapText="1" indent="3"/>
    </xf>
    <xf numFmtId="0" fontId="5" fillId="0" borderId="0" xfId="0" applyFont="1" applyAlignment="1">
      <alignment horizontal="left" wrapText="1" indent="2"/>
    </xf>
    <xf numFmtId="0" fontId="3" fillId="0" borderId="0" xfId="0" applyFont="1" applyAlignment="1">
      <alignment horizontal="left" wrapText="1" indent="4"/>
    </xf>
    <xf numFmtId="0" fontId="5" fillId="0" borderId="0" xfId="0" applyFont="1" applyAlignment="1">
      <alignment horizontal="left" wrapText="1" indent="3"/>
    </xf>
    <xf numFmtId="0" fontId="5" fillId="0" borderId="0" xfId="0" applyFont="1" applyAlignment="1">
      <alignment horizontal="left" wrapText="1" indent="1"/>
    </xf>
    <xf numFmtId="0" fontId="5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4" fillId="0" borderId="1" xfId="20" applyFont="1" applyBorder="1" applyAlignment="1">
      <alignment wrapText="1"/>
      <protection/>
    </xf>
    <xf numFmtId="0" fontId="4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8" fontId="5" fillId="0" borderId="2" xfId="0" applyNumberFormat="1" applyFont="1" applyBorder="1" applyAlignment="1">
      <alignment wrapText="1"/>
    </xf>
    <xf numFmtId="177" fontId="5" fillId="0" borderId="2" xfId="0" applyNumberFormat="1" applyFont="1" applyBorder="1" applyAlignment="1">
      <alignment wrapText="1"/>
    </xf>
    <xf numFmtId="0" fontId="4" fillId="0" borderId="1" xfId="20" applyFont="1" applyAlignment="1">
      <alignment horizontal="center" wrapText="1"/>
      <protection/>
    </xf>
    <xf numFmtId="177" fontId="3" fillId="0" borderId="0" xfId="0" applyNumberFormat="1" applyFont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AL145"/>
  <sheetViews>
    <sheetView tabSelected="1" workbookViewId="0" topLeftCell="A1"/>
  </sheetViews>
  <sheetFormatPr defaultColWidth="11.255" defaultRowHeight="16"/>
  <cols>
    <col min="1" max="1" width="41" style="49" customWidth="1"/>
    <col min="2" max="2" width="15.25" style="49" customWidth="1"/>
    <col min="3" max="3" width="17" style="49" customWidth="1"/>
    <col min="4" max="5" width="16.125" style="49" customWidth="1"/>
    <col min="6" max="8" width="17" style="49" customWidth="1"/>
    <col min="9" max="9" width="16.125" style="49" customWidth="1"/>
    <col min="10" max="10" width="17" style="49" customWidth="1"/>
    <col min="11" max="11" width="16.125" style="49" customWidth="1"/>
    <col min="12" max="12" width="17" style="49" customWidth="1"/>
    <col min="13" max="13" width="16.125" style="49" customWidth="1"/>
    <col min="14" max="15" width="17" style="49" customWidth="1"/>
    <col min="16" max="17" width="16.125" style="49" customWidth="1"/>
    <col min="18" max="20" width="17" style="49" customWidth="1"/>
    <col min="21" max="21" width="15.25" style="49" customWidth="1"/>
    <col min="22" max="22" width="17" style="49" customWidth="1"/>
    <col min="23" max="23" width="16.125" style="49" customWidth="1"/>
    <col min="24" max="24" width="17" style="49" customWidth="1"/>
    <col min="25" max="27" width="16.125" style="49" customWidth="1"/>
    <col min="28" max="28" width="17" style="49" customWidth="1"/>
    <col min="29" max="29" width="16.125" style="49" customWidth="1"/>
    <col min="30" max="30" width="17" style="49" customWidth="1"/>
    <col min="31" max="31" width="16.125" style="49" customWidth="1"/>
    <col min="32" max="32" width="17" style="49" customWidth="1"/>
    <col min="33" max="33" width="16.125" style="49" customWidth="1"/>
    <col min="34" max="34" width="17" style="49" customWidth="1"/>
    <col min="35" max="35" width="16.125" style="49" customWidth="1"/>
    <col min="36" max="37" width="17" style="49" customWidth="1"/>
    <col min="38" max="38" width="16.125" style="49" customWidth="1"/>
  </cols>
  <sheetData>
    <row r="1" spans="1:1" ht="16">
      <c r="A1" s="36" t="s">
        <v>0</v>
      </c>
    </row>
    <row r="2" spans="1:1" ht="16">
      <c r="A2" s="37" t="s">
        <v>1</v>
      </c>
    </row>
    <row r="3" spans="1:1" ht="16">
      <c r="A3" s="38" t="s">
        <v>2</v>
      </c>
    </row>
    <row r="5" spans="1:38" ht="16">
      <c r="A5" s="51" t="s">
        <v>139</v>
      </c>
      <c r="B5" s="56" t="s">
        <v>140</v>
      </c>
      <c r="C5" s="56" t="s">
        <v>141</v>
      </c>
      <c r="D5" s="56" t="s">
        <v>142</v>
      </c>
      <c r="E5" s="56" t="s">
        <v>143</v>
      </c>
      <c r="F5" s="56" t="s">
        <v>144</v>
      </c>
      <c r="G5" s="56" t="s">
        <v>145</v>
      </c>
      <c r="H5" s="56" t="s">
        <v>146</v>
      </c>
      <c r="I5" s="56" t="s">
        <v>147</v>
      </c>
      <c r="J5" s="56" t="s">
        <v>148</v>
      </c>
      <c r="K5" s="56" t="s">
        <v>149</v>
      </c>
      <c r="L5" s="56" t="s">
        <v>150</v>
      </c>
      <c r="M5" s="56" t="s">
        <v>151</v>
      </c>
      <c r="N5" s="56" t="s">
        <v>152</v>
      </c>
      <c r="O5" s="56" t="s">
        <v>153</v>
      </c>
      <c r="P5" s="56" t="s">
        <v>154</v>
      </c>
      <c r="Q5" s="56" t="s">
        <v>155</v>
      </c>
      <c r="R5" s="56" t="s">
        <v>156</v>
      </c>
      <c r="S5" s="56" t="s">
        <v>157</v>
      </c>
      <c r="T5" s="56" t="s">
        <v>158</v>
      </c>
      <c r="U5" s="56" t="s">
        <v>159</v>
      </c>
      <c r="V5" s="56" t="s">
        <v>160</v>
      </c>
      <c r="W5" s="56" t="s">
        <v>161</v>
      </c>
      <c r="X5" s="56" t="s">
        <v>162</v>
      </c>
      <c r="Y5" s="56" t="s">
        <v>163</v>
      </c>
      <c r="Z5" s="56" t="s">
        <v>164</v>
      </c>
      <c r="AA5" s="56" t="s">
        <v>165</v>
      </c>
      <c r="AB5" s="56" t="s">
        <v>166</v>
      </c>
      <c r="AC5" s="56" t="s">
        <v>167</v>
      </c>
      <c r="AD5" s="56" t="s">
        <v>168</v>
      </c>
      <c r="AE5" s="56" t="s">
        <v>169</v>
      </c>
      <c r="AF5" s="56" t="s">
        <v>170</v>
      </c>
      <c r="AG5" s="56" t="s">
        <v>171</v>
      </c>
      <c r="AH5" s="56" t="s">
        <v>172</v>
      </c>
      <c r="AI5" s="56" t="s">
        <v>173</v>
      </c>
      <c r="AJ5" s="56" t="s">
        <v>174</v>
      </c>
      <c r="AK5" s="56" t="s">
        <v>175</v>
      </c>
      <c r="AL5" s="56" t="s">
        <v>176</v>
      </c>
    </row>
    <row r="6" spans="1:37" ht="16">
      <c r="A6" s="40" t="s">
        <v>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</row>
    <row r="7" spans="1:38" ht="16">
      <c r="A7" s="41" t="s">
        <v>4</v>
      </c>
      <c r="B7" s="52"/>
      <c r="C7" s="52"/>
      <c r="D7" s="53">
        <v>-2456.0</v>
      </c>
      <c r="E7" s="52"/>
      <c r="F7" s="52"/>
      <c r="G7" s="53">
        <v>-425.0</v>
      </c>
      <c r="H7" s="53">
        <v>460.0</v>
      </c>
      <c r="I7" s="52"/>
      <c r="J7" s="52"/>
      <c r="K7" s="52"/>
      <c r="L7" s="52"/>
      <c r="M7" s="52"/>
      <c r="N7" s="52"/>
      <c r="O7" s="53">
        <v>22.0</v>
      </c>
      <c r="P7" s="52"/>
      <c r="Q7" s="52"/>
      <c r="R7" s="52"/>
      <c r="S7" s="52"/>
      <c r="T7" s="52"/>
      <c r="U7" s="52"/>
      <c r="V7" s="53">
        <v>632.22</v>
      </c>
      <c r="W7" s="53">
        <v>512.97</v>
      </c>
      <c r="X7" s="53">
        <v>220.0</v>
      </c>
      <c r="Y7" s="52"/>
      <c r="Z7" s="52"/>
      <c r="AA7" s="53">
        <v>884.0</v>
      </c>
      <c r="AB7" s="53">
        <v>-620.0</v>
      </c>
      <c r="AC7" s="52"/>
      <c r="AD7" s="52"/>
      <c r="AE7" s="52"/>
      <c r="AF7" s="52"/>
      <c r="AG7" s="53">
        <v>200.0</v>
      </c>
      <c r="AH7" s="53">
        <v>-627.0</v>
      </c>
      <c r="AI7" s="53">
        <v>-605.0</v>
      </c>
      <c r="AJ7" s="53">
        <v>113.0</v>
      </c>
      <c r="AK7" s="52"/>
      <c r="AL7" s="53">
        <f>B7+C7+D7+E7+F7+G7+H7+I7+J7+K7+L7+M7+N7+O7+P7+Q7+R7+S7+T7+U7+V7+W7+X7+Y7+Z7+AA7+AB7+AC7+AD7+AE7+AF7+AG7+AH7+AI7+AJ7+AK7</f>
        <v>-1688.81</v>
      </c>
    </row>
    <row r="8" spans="1:38" ht="16">
      <c r="A8" s="42" t="s">
        <v>5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</row>
    <row r="9" spans="1:38" ht="16">
      <c r="A9" s="43" t="s">
        <v>6</v>
      </c>
      <c r="B9" s="53">
        <v>16433.75</v>
      </c>
      <c r="C9" s="53">
        <v>14223.0</v>
      </c>
      <c r="D9" s="53">
        <v>49457.5</v>
      </c>
      <c r="E9" s="53">
        <v>34294.51</v>
      </c>
      <c r="F9" s="53">
        <v>17466.0</v>
      </c>
      <c r="G9" s="53">
        <v>18366.0</v>
      </c>
      <c r="H9" s="53">
        <v>57707.75</v>
      </c>
      <c r="I9" s="53">
        <v>23063.45</v>
      </c>
      <c r="J9" s="53">
        <v>28130.15</v>
      </c>
      <c r="K9" s="53">
        <v>29025.6</v>
      </c>
      <c r="L9" s="53">
        <v>38419.81</v>
      </c>
      <c r="M9" s="53">
        <v>24240.06</v>
      </c>
      <c r="N9" s="53">
        <v>23261.0</v>
      </c>
      <c r="O9" s="53">
        <v>42004.33</v>
      </c>
      <c r="P9" s="53">
        <v>33428.0</v>
      </c>
      <c r="Q9" s="53">
        <v>21810.0</v>
      </c>
      <c r="R9" s="53">
        <v>20147.0</v>
      </c>
      <c r="S9" s="53">
        <v>23193.45</v>
      </c>
      <c r="T9" s="53">
        <v>14249.81</v>
      </c>
      <c r="U9" s="53">
        <v>40513.06</v>
      </c>
      <c r="V9" s="53">
        <v>13147.0</v>
      </c>
      <c r="W9" s="53">
        <v>37716.26</v>
      </c>
      <c r="X9" s="53">
        <v>20992.61</v>
      </c>
      <c r="Y9" s="53">
        <v>30704.9</v>
      </c>
      <c r="Z9" s="53">
        <v>30013.0</v>
      </c>
      <c r="AA9" s="53">
        <v>45946.43</v>
      </c>
      <c r="AB9" s="53">
        <v>35398.33</v>
      </c>
      <c r="AC9" s="53">
        <v>37527.26</v>
      </c>
      <c r="AD9" s="53">
        <v>35049.07</v>
      </c>
      <c r="AE9" s="53">
        <v>19955.45</v>
      </c>
      <c r="AF9" s="53">
        <v>38325.0</v>
      </c>
      <c r="AG9" s="53">
        <v>22931.06</v>
      </c>
      <c r="AH9" s="53">
        <v>14043.0</v>
      </c>
      <c r="AI9" s="53">
        <v>27373.45</v>
      </c>
      <c r="AJ9" s="53">
        <v>26824.0</v>
      </c>
      <c r="AK9" s="53">
        <v>1435.0</v>
      </c>
      <c r="AL9" s="53">
        <f>B9+C9+D9+E9+F9+G9+H9+I9+J9+K9+L9+M9+N9+O9+P9+Q9+R9+S9+T9+U9+V9+W9+X9+Y9+Z9+AA9+AB9+AC9+AD9+AE9+AF9+AG9+AH9+AI9+AJ9+AK9</f>
        <v>1006816.0499999999</v>
      </c>
    </row>
    <row r="10" spans="1:38" ht="16">
      <c r="A10" s="43" t="s">
        <v>7</v>
      </c>
      <c r="B10" s="52"/>
      <c r="C10" s="52"/>
      <c r="D10" s="52"/>
      <c r="E10" s="52"/>
      <c r="F10" s="52"/>
      <c r="G10" s="52"/>
      <c r="H10" s="52"/>
      <c r="I10" s="52"/>
      <c r="J10" s="53">
        <v>50.0</v>
      </c>
      <c r="K10" s="52"/>
      <c r="L10" s="52"/>
      <c r="M10" s="52"/>
      <c r="N10" s="52"/>
      <c r="O10" s="53">
        <v>95.0</v>
      </c>
      <c r="P10" s="52"/>
      <c r="Q10" s="53">
        <v>50.0</v>
      </c>
      <c r="R10" s="52"/>
      <c r="S10" s="52"/>
      <c r="T10" s="52"/>
      <c r="U10" s="53">
        <v>250.0</v>
      </c>
      <c r="V10" s="52"/>
      <c r="W10" s="52"/>
      <c r="X10" s="52"/>
      <c r="Y10" s="52"/>
      <c r="Z10" s="52"/>
      <c r="AA10" s="52"/>
      <c r="AB10" s="53">
        <v>95.0</v>
      </c>
      <c r="AC10" s="52"/>
      <c r="AD10" s="53">
        <v>50.0</v>
      </c>
      <c r="AE10" s="52"/>
      <c r="AF10" s="53">
        <v>175.0</v>
      </c>
      <c r="AG10" s="53">
        <v>555.0</v>
      </c>
      <c r="AH10" s="53">
        <v>250.0</v>
      </c>
      <c r="AI10" s="53">
        <v>130.0</v>
      </c>
      <c r="AJ10" s="53">
        <v>50.0</v>
      </c>
      <c r="AK10" s="52"/>
      <c r="AL10" s="53">
        <f>B10+C10+D10+E10+F10+G10+H10+I10+J10+K10+L10+M10+N10+O10+P10+Q10+R10+S10+T10+U10+V10+W10+X10+Y10+Z10+AA10+AB10+AC10+AD10+AE10+AF10+AG10+AH10+AI10+AJ10+AK10</f>
        <v>1750.0</v>
      </c>
    </row>
    <row r="11" spans="1:38" ht="16">
      <c r="A11" s="43" t="s">
        <v>8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3">
        <v>800.0</v>
      </c>
      <c r="AK11" s="52"/>
      <c r="AL11" s="53">
        <f>B11+C11+D11+E11+F11+G11+H11+I11+J11+K11+L11+M11+N11+O11+P11+Q11+R11+S11+T11+U11+V11+W11+X11+Y11+Z11+AA11+AB11+AC11+AD11+AE11+AF11+AG11+AH11+AI11+AJ11+AK11</f>
        <v>800.0</v>
      </c>
    </row>
    <row r="12" spans="1:38" ht="16">
      <c r="A12" s="43" t="s">
        <v>9</v>
      </c>
      <c r="B12" s="52"/>
      <c r="C12" s="52"/>
      <c r="D12" s="52"/>
      <c r="E12" s="53">
        <v>600.0</v>
      </c>
      <c r="F12" s="53">
        <v>975.0</v>
      </c>
      <c r="G12" s="52"/>
      <c r="H12" s="52"/>
      <c r="I12" s="52"/>
      <c r="J12" s="53">
        <v>1182.0</v>
      </c>
      <c r="K12" s="53">
        <v>550.0</v>
      </c>
      <c r="L12" s="52"/>
      <c r="M12" s="52"/>
      <c r="N12" s="52"/>
      <c r="O12" s="53">
        <v>1950.0</v>
      </c>
      <c r="P12" s="53">
        <v>600.0</v>
      </c>
      <c r="Q12" s="52"/>
      <c r="R12" s="52"/>
      <c r="S12" s="53">
        <v>700.0</v>
      </c>
      <c r="T12" s="52"/>
      <c r="U12" s="53">
        <v>900.0</v>
      </c>
      <c r="V12" s="52"/>
      <c r="W12" s="53">
        <v>975.0</v>
      </c>
      <c r="X12" s="52"/>
      <c r="Y12" s="52"/>
      <c r="Z12" s="53">
        <v>1050.0</v>
      </c>
      <c r="AA12" s="52"/>
      <c r="AB12" s="52"/>
      <c r="AC12" s="53">
        <v>785.0</v>
      </c>
      <c r="AD12" s="53">
        <v>700.0</v>
      </c>
      <c r="AE12" s="52"/>
      <c r="AF12" s="52"/>
      <c r="AG12" s="53">
        <v>600.0</v>
      </c>
      <c r="AH12" s="52"/>
      <c r="AI12" s="53">
        <v>785.0</v>
      </c>
      <c r="AJ12" s="52"/>
      <c r="AK12" s="52"/>
      <c r="AL12" s="53">
        <f>B12+C12+D12+E12+F12+G12+H12+I12+J12+K12+L12+M12+N12+O12+P12+Q12+R12+S12+T12+U12+V12+W12+X12+Y12+Z12+AA12+AB12+AC12+AD12+AE12+AF12+AG12+AH12+AI12+AJ12+AK12</f>
        <v>12352.0</v>
      </c>
    </row>
    <row r="13" spans="1:38" ht="16">
      <c r="A13" s="43" t="s">
        <v>10</v>
      </c>
      <c r="B13" s="53">
        <v>50.0</v>
      </c>
      <c r="C13" s="52"/>
      <c r="D13" s="52"/>
      <c r="E13" s="53">
        <v>50.0</v>
      </c>
      <c r="F13" s="52"/>
      <c r="G13" s="52"/>
      <c r="H13" s="53">
        <v>50.0</v>
      </c>
      <c r="I13" s="52"/>
      <c r="J13" s="52"/>
      <c r="K13" s="52"/>
      <c r="L13" s="52"/>
      <c r="M13" s="52"/>
      <c r="N13" s="52"/>
      <c r="O13" s="52"/>
      <c r="P13" s="52"/>
      <c r="Q13" s="52"/>
      <c r="R13" s="53">
        <v>50.0</v>
      </c>
      <c r="S13" s="52"/>
      <c r="T13" s="52"/>
      <c r="U13" s="52"/>
      <c r="V13" s="52"/>
      <c r="W13" s="52"/>
      <c r="X13" s="53">
        <v>50.0</v>
      </c>
      <c r="Y13" s="53">
        <v>50.0</v>
      </c>
      <c r="Z13" s="53">
        <v>700.0</v>
      </c>
      <c r="AA13" s="52"/>
      <c r="AB13" s="53">
        <v>450.0</v>
      </c>
      <c r="AC13" s="52"/>
      <c r="AD13" s="53">
        <v>50.0</v>
      </c>
      <c r="AE13" s="52"/>
      <c r="AF13" s="53">
        <v>300.0</v>
      </c>
      <c r="AG13" s="52"/>
      <c r="AH13" s="52"/>
      <c r="AI13" s="52"/>
      <c r="AJ13" s="52"/>
      <c r="AK13" s="52"/>
      <c r="AL13" s="53">
        <f>B13+C13+D13+E13+F13+G13+H13+I13+J13+K13+L13+M13+N13+O13+P13+Q13+R13+S13+T13+U13+V13+W13+X13+Y13+Z13+AA13+AB13+AC13+AD13+AE13+AF13+AG13+AH13+AI13+AJ13+AK13</f>
        <v>1800.0</v>
      </c>
    </row>
    <row r="14" spans="1:38" ht="16">
      <c r="A14" s="43" t="s">
        <v>11</v>
      </c>
      <c r="B14" s="53">
        <v>693.0</v>
      </c>
      <c r="C14" s="53">
        <v>728.0</v>
      </c>
      <c r="D14" s="53">
        <v>2107.0</v>
      </c>
      <c r="E14" s="53">
        <v>1694.0</v>
      </c>
      <c r="F14" s="53">
        <v>834.0</v>
      </c>
      <c r="G14" s="53">
        <v>1170.0</v>
      </c>
      <c r="H14" s="53">
        <v>2251.0</v>
      </c>
      <c r="I14" s="53">
        <v>1027.0</v>
      </c>
      <c r="J14" s="53">
        <v>1744.0</v>
      </c>
      <c r="K14" s="53">
        <v>1461.6</v>
      </c>
      <c r="L14" s="53">
        <v>1945.19</v>
      </c>
      <c r="M14" s="53">
        <v>791.0</v>
      </c>
      <c r="N14" s="53">
        <v>947.0</v>
      </c>
      <c r="O14" s="53">
        <v>1556.67</v>
      </c>
      <c r="P14" s="53">
        <v>1624.0</v>
      </c>
      <c r="Q14" s="53">
        <v>952.0</v>
      </c>
      <c r="R14" s="53">
        <v>921.0</v>
      </c>
      <c r="S14" s="53">
        <v>1088.0</v>
      </c>
      <c r="T14" s="53">
        <v>770.0</v>
      </c>
      <c r="U14" s="53">
        <v>1333.0</v>
      </c>
      <c r="V14" s="53">
        <v>694.0</v>
      </c>
      <c r="W14" s="53">
        <v>3146.94</v>
      </c>
      <c r="X14" s="53">
        <v>1269.39</v>
      </c>
      <c r="Y14" s="53">
        <v>1448.0</v>
      </c>
      <c r="Z14" s="53">
        <v>1732.95</v>
      </c>
      <c r="AA14" s="53">
        <v>2019.57</v>
      </c>
      <c r="AB14" s="53">
        <v>1978.67</v>
      </c>
      <c r="AC14" s="53">
        <v>1753.0</v>
      </c>
      <c r="AD14" s="53">
        <v>1648.43</v>
      </c>
      <c r="AE14" s="53">
        <v>1328.0</v>
      </c>
      <c r="AF14" s="53">
        <v>1389.0</v>
      </c>
      <c r="AG14" s="53">
        <v>1453.0</v>
      </c>
      <c r="AH14" s="53">
        <v>1762.0</v>
      </c>
      <c r="AI14" s="53">
        <v>1573.0</v>
      </c>
      <c r="AJ14" s="53">
        <v>1315.0</v>
      </c>
      <c r="AK14" s="53">
        <v>70.0</v>
      </c>
      <c r="AL14" s="53">
        <f>B14+C14+D14+E14+F14+G14+H14+I14+J14+K14+L14+M14+N14+O14+P14+Q14+R14+S14+T14+U14+V14+W14+X14+Y14+Z14+AA14+AB14+AC14+AD14+AE14+AF14+AG14+AH14+AI14+AJ14+AK14</f>
        <v>50218.409999999996</v>
      </c>
    </row>
    <row r="15" spans="1:38" ht="16">
      <c r="A15" s="43" t="s">
        <v>12</v>
      </c>
      <c r="B15" s="53">
        <v>489.56</v>
      </c>
      <c r="C15" s="53">
        <v>473.79</v>
      </c>
      <c r="D15" s="53">
        <v>104.64</v>
      </c>
      <c r="E15" s="53">
        <v>914.68</v>
      </c>
      <c r="F15" s="53">
        <v>459.32</v>
      </c>
      <c r="G15" s="53">
        <v>489.03</v>
      </c>
      <c r="H15" s="53">
        <v>709.63</v>
      </c>
      <c r="I15" s="53">
        <v>412.0</v>
      </c>
      <c r="J15" s="53">
        <v>547.36</v>
      </c>
      <c r="K15" s="53">
        <v>527.34</v>
      </c>
      <c r="L15" s="53">
        <v>739.69</v>
      </c>
      <c r="M15" s="53">
        <v>412.0</v>
      </c>
      <c r="N15" s="53">
        <v>672.7</v>
      </c>
      <c r="O15" s="53">
        <v>557.94</v>
      </c>
      <c r="P15" s="53">
        <v>1391.77</v>
      </c>
      <c r="Q15" s="53">
        <v>100.0</v>
      </c>
      <c r="R15" s="53">
        <v>516.99</v>
      </c>
      <c r="S15" s="53">
        <v>-261.99</v>
      </c>
      <c r="T15" s="53">
        <v>208.41</v>
      </c>
      <c r="U15" s="53">
        <v>1102.76</v>
      </c>
      <c r="V15" s="53">
        <v>438.12</v>
      </c>
      <c r="W15" s="53">
        <v>1086.17</v>
      </c>
      <c r="X15" s="53">
        <v>160.31</v>
      </c>
      <c r="Y15" s="53">
        <v>648.03</v>
      </c>
      <c r="Z15" s="53">
        <v>679.29</v>
      </c>
      <c r="AA15" s="53">
        <v>687.66</v>
      </c>
      <c r="AB15" s="53">
        <v>1020.51</v>
      </c>
      <c r="AC15" s="53">
        <v>549.28</v>
      </c>
      <c r="AD15" s="53">
        <v>532.19</v>
      </c>
      <c r="AE15" s="53">
        <v>984.34</v>
      </c>
      <c r="AF15" s="53">
        <v>202.74</v>
      </c>
      <c r="AG15" s="53">
        <v>348.86</v>
      </c>
      <c r="AH15" s="53">
        <v>518.8</v>
      </c>
      <c r="AI15" s="53">
        <v>532.18</v>
      </c>
      <c r="AJ15" s="53">
        <v>737.08</v>
      </c>
      <c r="AK15" s="52"/>
      <c r="AL15" s="53">
        <f>B15+C15+D15+E15+F15+G15+H15+I15+J15+K15+L15+M15+N15+O15+P15+Q15+R15+S15+T15+U15+V15+W15+X15+Y15+Z15+AA15+AB15+AC15+AD15+AE15+AF15+AG15+AH15+AI15+AJ15+AK15</f>
        <v>19693.180000000004</v>
      </c>
    </row>
    <row r="16" spans="1:38" ht="16">
      <c r="A16" s="44" t="s">
        <v>13</v>
      </c>
      <c r="B16" s="54">
        <f>B8+B9+B10+B11+B12+B13+B14+B15</f>
        <v>17666.31</v>
      </c>
      <c r="C16" s="54">
        <f>C8+C9+C10+C11+C12+C13+C14+C15</f>
        <v>15424.79</v>
      </c>
      <c r="D16" s="54">
        <f>D8+D9+D10+D11+D12+D13+D14+D15</f>
        <v>51669.14</v>
      </c>
      <c r="E16" s="54">
        <f>E8+E9+E10+E11+E12+E13+E14+E15</f>
        <v>37553.19</v>
      </c>
      <c r="F16" s="54">
        <f>F8+F9+F10+F11+F12+F13+F14+F15</f>
        <v>19734.32</v>
      </c>
      <c r="G16" s="54">
        <f>G8+G9+G10+G11+G12+G13+G14+G15</f>
        <v>20025.03</v>
      </c>
      <c r="H16" s="54">
        <f>H8+H9+H10+H11+H12+H13+H14+H15</f>
        <v>60718.38</v>
      </c>
      <c r="I16" s="54">
        <f>I8+I9+I10+I11+I12+I13+I14+I15</f>
        <v>24502.45</v>
      </c>
      <c r="J16" s="54">
        <f>J8+J9+J10+J11+J12+J13+J14+J15</f>
        <v>31653.510000000002</v>
      </c>
      <c r="K16" s="54">
        <f>K8+K9+K10+K11+K12+K13+K14+K15</f>
        <v>31564.539999999997</v>
      </c>
      <c r="L16" s="54">
        <f>L8+L9+L10+L11+L12+L13+L14+L15</f>
        <v>41104.69</v>
      </c>
      <c r="M16" s="54">
        <f>M8+M9+M10+M11+M12+M13+M14+M15</f>
        <v>25443.06</v>
      </c>
      <c r="N16" s="54">
        <f>N8+N9+N10+N11+N12+N13+N14+N15</f>
        <v>24880.7</v>
      </c>
      <c r="O16" s="54">
        <f>O8+O9+O10+O11+O12+O13+O14+O15</f>
        <v>46163.94</v>
      </c>
      <c r="P16" s="54">
        <f>P8+P9+P10+P11+P12+P13+P14+P15</f>
        <v>37043.77</v>
      </c>
      <c r="Q16" s="54">
        <f>Q8+Q9+Q10+Q11+Q12+Q13+Q14+Q15</f>
        <v>22912.0</v>
      </c>
      <c r="R16" s="54">
        <f>R8+R9+R10+R11+R12+R13+R14+R15</f>
        <v>21634.99</v>
      </c>
      <c r="S16" s="54">
        <f>S8+S9+S10+S11+S12+S13+S14+S15</f>
        <v>24719.46</v>
      </c>
      <c r="T16" s="54">
        <f>T8+T9+T10+T11+T12+T13+T14+T15</f>
        <v>15228.22</v>
      </c>
      <c r="U16" s="54">
        <f>U8+U9+U10+U11+U12+U13+U14+U15</f>
        <v>44098.82</v>
      </c>
      <c r="V16" s="54">
        <f>V8+V9+V10+V11+V12+V13+V14+V15</f>
        <v>14279.12</v>
      </c>
      <c r="W16" s="54">
        <f>W8+W9+W10+W11+W12+W13+W14+W15</f>
        <v>42924.37</v>
      </c>
      <c r="X16" s="54">
        <f>X8+X9+X10+X11+X12+X13+X14+X15</f>
        <v>22472.31</v>
      </c>
      <c r="Y16" s="54">
        <f>Y8+Y9+Y10+Y11+Y12+Y13+Y14+Y15</f>
        <v>32850.93</v>
      </c>
      <c r="Z16" s="54">
        <f>Z8+Z9+Z10+Z11+Z12+Z13+Z14+Z15</f>
        <v>34175.24</v>
      </c>
      <c r="AA16" s="54">
        <f>AA8+AA9+AA10+AA11+AA12+AA13+AA14+AA15</f>
        <v>48653.66</v>
      </c>
      <c r="AB16" s="54">
        <f>AB8+AB9+AB10+AB11+AB12+AB13+AB14+AB15</f>
        <v>38942.51</v>
      </c>
      <c r="AC16" s="54">
        <f>AC8+AC9+AC10+AC11+AC12+AC13+AC14+AC15</f>
        <v>40614.54</v>
      </c>
      <c r="AD16" s="54">
        <f>AD8+AD9+AD10+AD11+AD12+AD13+AD14+AD15</f>
        <v>38029.69</v>
      </c>
      <c r="AE16" s="54">
        <f>AE8+AE9+AE10+AE11+AE12+AE13+AE14+AE15</f>
        <v>22267.79</v>
      </c>
      <c r="AF16" s="54">
        <f>AF8+AF9+AF10+AF11+AF12+AF13+AF14+AF15</f>
        <v>40391.74</v>
      </c>
      <c r="AG16" s="54">
        <f>AG8+AG9+AG10+AG11+AG12+AG13+AG14+AG15</f>
        <v>25887.920000000002</v>
      </c>
      <c r="AH16" s="54">
        <f>AH8+AH9+AH10+AH11+AH12+AH13+AH14+AH15</f>
        <v>16573.8</v>
      </c>
      <c r="AI16" s="54">
        <f>AI8+AI9+AI10+AI11+AI12+AI13+AI14+AI15</f>
        <v>30393.63</v>
      </c>
      <c r="AJ16" s="54">
        <f>AJ8+AJ9+AJ10+AJ11+AJ12+AJ13+AJ14+AJ15</f>
        <v>29726.08</v>
      </c>
      <c r="AK16" s="54">
        <f>AK8+AK9+AK10+AK11+AK12+AK13+AK14+AK15</f>
        <v>1505.0</v>
      </c>
      <c r="AL16" s="55">
        <f>B16+C16+D16+E16+F16+G16+H16+I16+J16+K16+L16+M16+N16+O16+P16+Q16+R16+S16+T16+U16+V16+W16+X16+Y16+Z16+AA16+AB16+AC16+AD16+AE16+AF16+AG16+AH16+AI16+AJ16+AK16</f>
        <v>1093429.6400000004</v>
      </c>
    </row>
    <row r="17" spans="1:38" ht="16">
      <c r="A17" s="42" t="s">
        <v>14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</row>
    <row r="18" spans="1:38" ht="16">
      <c r="A18" s="43" t="s">
        <v>15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</row>
    <row r="19" spans="1:38" ht="16">
      <c r="A19" s="45" t="s">
        <v>16</v>
      </c>
      <c r="B19" s="52"/>
      <c r="C19" s="52"/>
      <c r="D19" s="52"/>
      <c r="E19" s="52"/>
      <c r="F19" s="52"/>
      <c r="G19" s="52"/>
      <c r="H19" s="52"/>
      <c r="I19" s="53">
        <v>250.0</v>
      </c>
      <c r="J19" s="52"/>
      <c r="K19" s="53">
        <v>49.0</v>
      </c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3">
        <v>300.0</v>
      </c>
      <c r="AC19" s="52"/>
      <c r="AD19" s="53">
        <v>250.0</v>
      </c>
      <c r="AE19" s="52"/>
      <c r="AF19" s="52"/>
      <c r="AG19" s="53">
        <v>724.0</v>
      </c>
      <c r="AH19" s="52"/>
      <c r="AI19" s="53">
        <v>250.0</v>
      </c>
      <c r="AJ19" s="52"/>
      <c r="AK19" s="52"/>
      <c r="AL19" s="53">
        <f>B19+C19+D19+E19+F19+G19+H19+I19+J19+K19+L19+M19+N19+O19+P19+Q19+R19+S19+T19+U19+V19+W19+X19+Y19+Z19+AA19+AB19+AC19+AD19+AE19+AF19+AG19+AH19+AI19+AJ19+AK19</f>
        <v>1823.0</v>
      </c>
    </row>
    <row r="20" spans="1:38" ht="16">
      <c r="A20" s="45" t="s">
        <v>17</v>
      </c>
      <c r="B20" s="52"/>
      <c r="C20" s="52"/>
      <c r="D20" s="53">
        <v>49.0</v>
      </c>
      <c r="E20" s="53">
        <v>75.0</v>
      </c>
      <c r="F20" s="52"/>
      <c r="G20" s="52"/>
      <c r="H20" s="52"/>
      <c r="I20" s="53">
        <v>49.0</v>
      </c>
      <c r="J20" s="53">
        <v>49.0</v>
      </c>
      <c r="K20" s="52"/>
      <c r="L20" s="52"/>
      <c r="M20" s="53">
        <v>49.0</v>
      </c>
      <c r="N20" s="52"/>
      <c r="O20" s="52"/>
      <c r="P20" s="53">
        <v>97.0</v>
      </c>
      <c r="Q20" s="52"/>
      <c r="R20" s="52"/>
      <c r="S20" s="53">
        <v>245.0</v>
      </c>
      <c r="T20" s="53">
        <v>49.0</v>
      </c>
      <c r="U20" s="53">
        <v>167.0</v>
      </c>
      <c r="V20" s="53">
        <v>147.0</v>
      </c>
      <c r="W20" s="52"/>
      <c r="X20" s="52"/>
      <c r="Y20" s="53">
        <v>49.0</v>
      </c>
      <c r="Z20" s="53">
        <v>49.0</v>
      </c>
      <c r="AA20" s="53">
        <v>49.0</v>
      </c>
      <c r="AB20" s="53">
        <v>75.0</v>
      </c>
      <c r="AC20" s="53">
        <v>222.0</v>
      </c>
      <c r="AD20" s="53">
        <v>255.0</v>
      </c>
      <c r="AE20" s="53">
        <v>146.0</v>
      </c>
      <c r="AF20" s="53">
        <v>98.0</v>
      </c>
      <c r="AG20" s="53">
        <v>2412.0</v>
      </c>
      <c r="AH20" s="53">
        <v>206.0</v>
      </c>
      <c r="AI20" s="53">
        <v>147.0</v>
      </c>
      <c r="AJ20" s="53">
        <v>49.0</v>
      </c>
      <c r="AK20" s="52"/>
      <c r="AL20" s="53">
        <f>B20+C20+D20+E20+F20+G20+H20+I20+J20+K20+L20+M20+N20+O20+P20+Q20+R20+S20+T20+U20+V20+W20+X20+Y20+Z20+AA20+AB20+AC20+AD20+AE20+AF20+AG20+AH20+AI20+AJ20+AK20</f>
        <v>4733.0</v>
      </c>
    </row>
    <row r="21" spans="1:38" ht="16">
      <c r="A21" s="46" t="s">
        <v>18</v>
      </c>
      <c r="B21" s="55">
        <f>B18+B19+B20</f>
        <v>0.0</v>
      </c>
      <c r="C21" s="55">
        <f>C18+C19+C20</f>
        <v>0.0</v>
      </c>
      <c r="D21" s="54">
        <f>D18+D19+D20</f>
        <v>49.0</v>
      </c>
      <c r="E21" s="54">
        <f>E18+E19+E20</f>
        <v>75.0</v>
      </c>
      <c r="F21" s="55">
        <f>F18+F19+F20</f>
        <v>0.0</v>
      </c>
      <c r="G21" s="55">
        <f>G18+G19+G20</f>
        <v>0.0</v>
      </c>
      <c r="H21" s="55">
        <f>H18+H19+H20</f>
        <v>0.0</v>
      </c>
      <c r="I21" s="54">
        <f>I18+I19+I20</f>
        <v>299.0</v>
      </c>
      <c r="J21" s="54">
        <f>J18+J19+J20</f>
        <v>49.0</v>
      </c>
      <c r="K21" s="54">
        <f>K18+K19+K20</f>
        <v>49.0</v>
      </c>
      <c r="L21" s="55">
        <f>L18+L19+L20</f>
        <v>0.0</v>
      </c>
      <c r="M21" s="54">
        <f>M18+M19+M20</f>
        <v>49.0</v>
      </c>
      <c r="N21" s="55">
        <f>N18+N19+N20</f>
        <v>0.0</v>
      </c>
      <c r="O21" s="55">
        <f>O18+O19+O20</f>
        <v>0.0</v>
      </c>
      <c r="P21" s="54">
        <f>P18+P19+P20</f>
        <v>97.0</v>
      </c>
      <c r="Q21" s="55">
        <f>Q18+Q19+Q20</f>
        <v>0.0</v>
      </c>
      <c r="R21" s="55">
        <f>R18+R19+R20</f>
        <v>0.0</v>
      </c>
      <c r="S21" s="54">
        <f>S18+S19+S20</f>
        <v>245.0</v>
      </c>
      <c r="T21" s="54">
        <f>T18+T19+T20</f>
        <v>49.0</v>
      </c>
      <c r="U21" s="54">
        <f>U18+U19+U20</f>
        <v>167.0</v>
      </c>
      <c r="V21" s="54">
        <f>V18+V19+V20</f>
        <v>147.0</v>
      </c>
      <c r="W21" s="55">
        <f>W18+W19+W20</f>
        <v>0.0</v>
      </c>
      <c r="X21" s="55">
        <f>X18+X19+X20</f>
        <v>0.0</v>
      </c>
      <c r="Y21" s="54">
        <f>Y18+Y19+Y20</f>
        <v>49.0</v>
      </c>
      <c r="Z21" s="54">
        <f>Z18+Z19+Z20</f>
        <v>49.0</v>
      </c>
      <c r="AA21" s="54">
        <f>AA18+AA19+AA20</f>
        <v>49.0</v>
      </c>
      <c r="AB21" s="54">
        <f>AB18+AB19+AB20</f>
        <v>375.0</v>
      </c>
      <c r="AC21" s="54">
        <f>AC18+AC19+AC20</f>
        <v>222.0</v>
      </c>
      <c r="AD21" s="54">
        <f>AD18+AD19+AD20</f>
        <v>505.0</v>
      </c>
      <c r="AE21" s="54">
        <f>AE18+AE19+AE20</f>
        <v>146.0</v>
      </c>
      <c r="AF21" s="54">
        <f>AF18+AF19+AF20</f>
        <v>98.0</v>
      </c>
      <c r="AG21" s="54">
        <f>AG18+AG19+AG20</f>
        <v>3136.0</v>
      </c>
      <c r="AH21" s="54">
        <f>AH18+AH19+AH20</f>
        <v>206.0</v>
      </c>
      <c r="AI21" s="54">
        <f>AI18+AI19+AI20</f>
        <v>397.0</v>
      </c>
      <c r="AJ21" s="54">
        <f>AJ18+AJ19+AJ20</f>
        <v>49.0</v>
      </c>
      <c r="AK21" s="55">
        <f>AK18+AK19+AK20</f>
        <v>0.0</v>
      </c>
      <c r="AL21" s="55">
        <f>B21+C21+D21+E21+F21+G21+H21+I21+J21+K21+L21+M21+N21+O21+P21+Q21+R21+S21+T21+U21+V21+W21+X21+Y21+Z21+AA21+AB21+AC21+AD21+AE21+AF21+AG21+AH21+AI21+AJ21+AK21</f>
        <v>6556.0</v>
      </c>
    </row>
    <row r="22" spans="1:38" ht="16">
      <c r="A22" s="43" t="s">
        <v>19</v>
      </c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</row>
    <row r="23" spans="1:38" ht="16">
      <c r="A23" s="45" t="s">
        <v>20</v>
      </c>
      <c r="B23" s="52"/>
      <c r="C23" s="53">
        <v>200.0</v>
      </c>
      <c r="D23" s="53">
        <v>200.0</v>
      </c>
      <c r="E23" s="52"/>
      <c r="F23" s="52"/>
      <c r="G23" s="52"/>
      <c r="H23" s="52"/>
      <c r="I23" s="52"/>
      <c r="J23" s="53">
        <v>550.0</v>
      </c>
      <c r="K23" s="52"/>
      <c r="L23" s="53">
        <v>500.0</v>
      </c>
      <c r="M23" s="52"/>
      <c r="N23" s="53">
        <v>250.0</v>
      </c>
      <c r="O23" s="53">
        <v>250.0</v>
      </c>
      <c r="P23" s="52"/>
      <c r="Q23" s="52"/>
      <c r="R23" s="53">
        <v>300.0</v>
      </c>
      <c r="S23" s="52"/>
      <c r="T23" s="52"/>
      <c r="U23" s="53">
        <v>200.0</v>
      </c>
      <c r="V23" s="52"/>
      <c r="W23" s="53">
        <v>500.0</v>
      </c>
      <c r="X23" s="53">
        <v>350.0</v>
      </c>
      <c r="Y23" s="53">
        <v>500.0</v>
      </c>
      <c r="Z23" s="53">
        <v>250.0</v>
      </c>
      <c r="AA23" s="53">
        <v>250.0</v>
      </c>
      <c r="AB23" s="53">
        <v>1250.0</v>
      </c>
      <c r="AC23" s="53">
        <v>250.0</v>
      </c>
      <c r="AD23" s="53">
        <v>500.0</v>
      </c>
      <c r="AE23" s="52"/>
      <c r="AF23" s="52"/>
      <c r="AG23" s="53">
        <v>450.0</v>
      </c>
      <c r="AH23" s="52"/>
      <c r="AI23" s="53">
        <v>1000.0</v>
      </c>
      <c r="AJ23" s="52"/>
      <c r="AK23" s="52"/>
      <c r="AL23" s="53">
        <f>B23+C23+D23+E23+F23+G23+H23+I23+J23+K23+L23+M23+N23+O23+P23+Q23+R23+S23+T23+U23+V23+W23+X23+Y23+Z23+AA23+AB23+AC23+AD23+AE23+AF23+AG23+AH23+AI23+AJ23+AK23</f>
        <v>7750.0</v>
      </c>
    </row>
    <row r="24" spans="1:38" ht="16">
      <c r="A24" s="45" t="s">
        <v>21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3">
        <v>1970.0</v>
      </c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3">
        <v>99.0</v>
      </c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3">
        <f>B24+C24+D24+E24+F24+G24+H24+I24+J24+K24+L24+M24+N24+O24+P24+Q24+R24+S24+T24+U24+V24+W24+X24+Y24+Z24+AA24+AB24+AC24+AD24+AE24+AF24+AG24+AH24+AI24+AJ24+AK24</f>
        <v>2069.0</v>
      </c>
    </row>
    <row r="25" spans="1:38" ht="16">
      <c r="A25" s="45" t="s">
        <v>22</v>
      </c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3">
        <v>150.0</v>
      </c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3">
        <f>B25+C25+D25+E25+F25+G25+H25+I25+J25+K25+L25+M25+N25+O25+P25+Q25+R25+S25+T25+U25+V25+W25+X25+Y25+Z25+AA25+AB25+AC25+AD25+AE25+AF25+AG25+AH25+AI25+AJ25+AK25</f>
        <v>150.0</v>
      </c>
    </row>
    <row r="26" spans="1:38" ht="16">
      <c r="A26" s="46" t="s">
        <v>23</v>
      </c>
      <c r="B26" s="55">
        <f>B22+B23+B24+B25</f>
        <v>0.0</v>
      </c>
      <c r="C26" s="54">
        <f>C22+C23+C24+C25</f>
        <v>200.0</v>
      </c>
      <c r="D26" s="54">
        <f>D22+D23+D24+D25</f>
        <v>200.0</v>
      </c>
      <c r="E26" s="55">
        <f>E22+E23+E24+E25</f>
        <v>0.0</v>
      </c>
      <c r="F26" s="55">
        <f>F22+F23+F24+F25</f>
        <v>0.0</v>
      </c>
      <c r="G26" s="55">
        <f>G22+G23+G24+G25</f>
        <v>0.0</v>
      </c>
      <c r="H26" s="55">
        <f>H22+H23+H24+H25</f>
        <v>0.0</v>
      </c>
      <c r="I26" s="55">
        <f>I22+I23+I24+I25</f>
        <v>0.0</v>
      </c>
      <c r="J26" s="54">
        <f>J22+J23+J24+J25</f>
        <v>550.0</v>
      </c>
      <c r="K26" s="55">
        <f>K22+K23+K24+K25</f>
        <v>0.0</v>
      </c>
      <c r="L26" s="54">
        <f>L22+L23+L24+L25</f>
        <v>500.0</v>
      </c>
      <c r="M26" s="55">
        <f>M22+M23+M24+M25</f>
        <v>0.0</v>
      </c>
      <c r="N26" s="54">
        <f>N22+N23+N24+N25</f>
        <v>250.0</v>
      </c>
      <c r="O26" s="54">
        <f>O22+O23+O24+O25</f>
        <v>2370.0</v>
      </c>
      <c r="P26" s="55">
        <f>P22+P23+P24+P25</f>
        <v>0.0</v>
      </c>
      <c r="Q26" s="55">
        <f>Q22+Q23+Q24+Q25</f>
        <v>0.0</v>
      </c>
      <c r="R26" s="54">
        <f>R22+R23+R24+R25</f>
        <v>300.0</v>
      </c>
      <c r="S26" s="55">
        <f>S22+S23+S24+S25</f>
        <v>0.0</v>
      </c>
      <c r="T26" s="55">
        <f>T22+T23+T24+T25</f>
        <v>0.0</v>
      </c>
      <c r="U26" s="54">
        <f>U22+U23+U24+U25</f>
        <v>200.0</v>
      </c>
      <c r="V26" s="55">
        <f>V22+V23+V24+V25</f>
        <v>0.0</v>
      </c>
      <c r="W26" s="54">
        <f>W22+W23+W24+W25</f>
        <v>500.0</v>
      </c>
      <c r="X26" s="54">
        <f>X22+X23+X24+X25</f>
        <v>350.0</v>
      </c>
      <c r="Y26" s="54">
        <f>Y22+Y23+Y24+Y25</f>
        <v>500.0</v>
      </c>
      <c r="Z26" s="54">
        <f>Z22+Z23+Z24+Z25</f>
        <v>250.0</v>
      </c>
      <c r="AA26" s="54">
        <f>AA22+AA23+AA24+AA25</f>
        <v>349.0</v>
      </c>
      <c r="AB26" s="54">
        <f>AB22+AB23+AB24+AB25</f>
        <v>1250.0</v>
      </c>
      <c r="AC26" s="54">
        <f>AC22+AC23+AC24+AC25</f>
        <v>250.0</v>
      </c>
      <c r="AD26" s="54">
        <f>AD22+AD23+AD24+AD25</f>
        <v>500.0</v>
      </c>
      <c r="AE26" s="55">
        <f>AE22+AE23+AE24+AE25</f>
        <v>0.0</v>
      </c>
      <c r="AF26" s="55">
        <f>AF22+AF23+AF24+AF25</f>
        <v>0.0</v>
      </c>
      <c r="AG26" s="54">
        <f>AG22+AG23+AG24+AG25</f>
        <v>450.0</v>
      </c>
      <c r="AH26" s="55">
        <f>AH22+AH23+AH24+AH25</f>
        <v>0.0</v>
      </c>
      <c r="AI26" s="54">
        <f>AI22+AI23+AI24+AI25</f>
        <v>1000.0</v>
      </c>
      <c r="AJ26" s="55">
        <f>AJ22+AJ23+AJ24+AJ25</f>
        <v>0.0</v>
      </c>
      <c r="AK26" s="55">
        <f>AK22+AK23+AK24+AK25</f>
        <v>0.0</v>
      </c>
      <c r="AL26" s="55">
        <f>B26+C26+D26+E26+F26+G26+H26+I26+J26+K26+L26+M26+N26+O26+P26+Q26+R26+S26+T26+U26+V26+W26+X26+Y26+Z26+AA26+AB26+AC26+AD26+AE26+AF26+AG26+AH26+AI26+AJ26+AK26</f>
        <v>9969.0</v>
      </c>
    </row>
    <row r="27" spans="1:38" ht="16">
      <c r="A27" s="44" t="s">
        <v>24</v>
      </c>
      <c r="B27" s="55">
        <f>B17+B21+B26</f>
        <v>0.0</v>
      </c>
      <c r="C27" s="54">
        <f>C17+C21+C26</f>
        <v>200.0</v>
      </c>
      <c r="D27" s="54">
        <f>D17+D21+D26</f>
        <v>249.0</v>
      </c>
      <c r="E27" s="54">
        <f>E17+E21+E26</f>
        <v>75.0</v>
      </c>
      <c r="F27" s="55">
        <f>F17+F21+F26</f>
        <v>0.0</v>
      </c>
      <c r="G27" s="55">
        <f>G17+G21+G26</f>
        <v>0.0</v>
      </c>
      <c r="H27" s="55">
        <f>H17+H21+H26</f>
        <v>0.0</v>
      </c>
      <c r="I27" s="54">
        <f>I17+I21+I26</f>
        <v>299.0</v>
      </c>
      <c r="J27" s="54">
        <f>J17+J21+J26</f>
        <v>599.0</v>
      </c>
      <c r="K27" s="54">
        <f>K17+K21+K26</f>
        <v>49.0</v>
      </c>
      <c r="L27" s="54">
        <f>L17+L21+L26</f>
        <v>500.0</v>
      </c>
      <c r="M27" s="54">
        <f>M17+M21+M26</f>
        <v>49.0</v>
      </c>
      <c r="N27" s="54">
        <f>N17+N21+N26</f>
        <v>250.0</v>
      </c>
      <c r="O27" s="54">
        <f>O17+O21+O26</f>
        <v>2370.0</v>
      </c>
      <c r="P27" s="54">
        <f>P17+P21+P26</f>
        <v>97.0</v>
      </c>
      <c r="Q27" s="55">
        <f>Q17+Q21+Q26</f>
        <v>0.0</v>
      </c>
      <c r="R27" s="54">
        <f>R17+R21+R26</f>
        <v>300.0</v>
      </c>
      <c r="S27" s="54">
        <f>S17+S21+S26</f>
        <v>245.0</v>
      </c>
      <c r="T27" s="54">
        <f>T17+T21+T26</f>
        <v>49.0</v>
      </c>
      <c r="U27" s="54">
        <f>U17+U21+U26</f>
        <v>367.0</v>
      </c>
      <c r="V27" s="54">
        <f>V17+V21+V26</f>
        <v>147.0</v>
      </c>
      <c r="W27" s="54">
        <f>W17+W21+W26</f>
        <v>500.0</v>
      </c>
      <c r="X27" s="54">
        <f>X17+X21+X26</f>
        <v>350.0</v>
      </c>
      <c r="Y27" s="54">
        <f>Y17+Y21+Y26</f>
        <v>549.0</v>
      </c>
      <c r="Z27" s="54">
        <f>Z17+Z21+Z26</f>
        <v>299.0</v>
      </c>
      <c r="AA27" s="54">
        <f>AA17+AA21+AA26</f>
        <v>398.0</v>
      </c>
      <c r="AB27" s="54">
        <f>AB17+AB21+AB26</f>
        <v>1625.0</v>
      </c>
      <c r="AC27" s="54">
        <f>AC17+AC21+AC26</f>
        <v>472.0</v>
      </c>
      <c r="AD27" s="54">
        <f>AD17+AD21+AD26</f>
        <v>1005.0</v>
      </c>
      <c r="AE27" s="54">
        <f>AE17+AE21+AE26</f>
        <v>146.0</v>
      </c>
      <c r="AF27" s="54">
        <f>AF17+AF21+AF26</f>
        <v>98.0</v>
      </c>
      <c r="AG27" s="54">
        <f>AG17+AG21+AG26</f>
        <v>3586.0</v>
      </c>
      <c r="AH27" s="54">
        <f>AH17+AH21+AH26</f>
        <v>206.0</v>
      </c>
      <c r="AI27" s="54">
        <f>AI17+AI21+AI26</f>
        <v>1397.0</v>
      </c>
      <c r="AJ27" s="54">
        <f>AJ17+AJ21+AJ26</f>
        <v>49.0</v>
      </c>
      <c r="AK27" s="55">
        <f>AK17+AK21+AK26</f>
        <v>0.0</v>
      </c>
      <c r="AL27" s="55">
        <f>B27+C27+D27+E27+F27+G27+H27+I27+J27+K27+L27+M27+N27+O27+P27+Q27+R27+S27+T27+U27+V27+W27+X27+Y27+Z27+AA27+AB27+AC27+AD27+AE27+AF27+AG27+AH27+AI27+AJ27+AK27</f>
        <v>16525.0</v>
      </c>
    </row>
    <row r="28" spans="1:38" ht="16">
      <c r="A28" s="42" t="s">
        <v>25</v>
      </c>
      <c r="B28" s="52"/>
      <c r="C28" s="53">
        <v>-347.5</v>
      </c>
      <c r="D28" s="53">
        <v>-382.0</v>
      </c>
      <c r="E28" s="53">
        <v>-1070.0</v>
      </c>
      <c r="F28" s="53">
        <v>-432.0</v>
      </c>
      <c r="G28" s="53">
        <v>-204.0</v>
      </c>
      <c r="H28" s="53">
        <v>-192.0</v>
      </c>
      <c r="I28" s="53">
        <v>-726.0</v>
      </c>
      <c r="J28" s="53">
        <v>-820.0</v>
      </c>
      <c r="K28" s="52"/>
      <c r="L28" s="52"/>
      <c r="M28" s="52"/>
      <c r="N28" s="53">
        <v>-584.0</v>
      </c>
      <c r="O28" s="53">
        <v>-167.0</v>
      </c>
      <c r="P28" s="53">
        <v>-467.0</v>
      </c>
      <c r="Q28" s="52"/>
      <c r="R28" s="53">
        <v>-147.0</v>
      </c>
      <c r="S28" s="52"/>
      <c r="T28" s="52"/>
      <c r="U28" s="52"/>
      <c r="V28" s="53">
        <v>-60.0</v>
      </c>
      <c r="W28" s="53">
        <v>-159.92</v>
      </c>
      <c r="X28" s="53">
        <v>-751.0</v>
      </c>
      <c r="Y28" s="53">
        <v>-72.0</v>
      </c>
      <c r="Z28" s="53">
        <v>-1143.0</v>
      </c>
      <c r="AA28" s="52"/>
      <c r="AB28" s="53">
        <v>-167.0</v>
      </c>
      <c r="AC28" s="52"/>
      <c r="AD28" s="53">
        <v>-347.5</v>
      </c>
      <c r="AE28" s="53">
        <v>-75.0</v>
      </c>
      <c r="AF28" s="53">
        <v>-5.0</v>
      </c>
      <c r="AG28" s="53">
        <v>-72.0</v>
      </c>
      <c r="AH28" s="53">
        <v>-72.0</v>
      </c>
      <c r="AI28" s="52"/>
      <c r="AJ28" s="53">
        <v>-80.0</v>
      </c>
      <c r="AK28" s="52"/>
      <c r="AL28" s="53">
        <f>B28+C28+D28+E28+F28+G28+H28+I28+J28+K28+L28+M28+N28+O28+P28+Q28+R28+S28+T28+U28+V28+W28+X28+Y28+Z28+AA28+AB28+AC28+AD28+AE28+AF28+AG28+AH28+AI28+AJ28+AK28</f>
        <v>-8542.92</v>
      </c>
    </row>
    <row r="29" spans="1:38" ht="16">
      <c r="A29" s="47" t="s">
        <v>26</v>
      </c>
      <c r="B29" s="54">
        <f>B7+B16+B27+B28</f>
        <v>17666.31</v>
      </c>
      <c r="C29" s="54">
        <f>C7+C16+C27+C28</f>
        <v>15277.29</v>
      </c>
      <c r="D29" s="54">
        <f>D7+D16+D27+D28</f>
        <v>49080.14</v>
      </c>
      <c r="E29" s="54">
        <f>E7+E16+E27+E28</f>
        <v>36558.19</v>
      </c>
      <c r="F29" s="54">
        <f>F7+F16+F27+F28</f>
        <v>19302.32</v>
      </c>
      <c r="G29" s="54">
        <f>G7+G16+G27+G28</f>
        <v>19396.03</v>
      </c>
      <c r="H29" s="54">
        <f>H7+H16+H27+H28</f>
        <v>60986.38</v>
      </c>
      <c r="I29" s="54">
        <f>I7+I16+I27+I28</f>
        <v>24075.45</v>
      </c>
      <c r="J29" s="54">
        <f>J7+J16+J27+J28</f>
        <v>31432.510000000002</v>
      </c>
      <c r="K29" s="54">
        <f>K7+K16+K27+K28</f>
        <v>31613.539999999997</v>
      </c>
      <c r="L29" s="54">
        <f>L7+L16+L27+L28</f>
        <v>41604.69</v>
      </c>
      <c r="M29" s="54">
        <f>M7+M16+M27+M28</f>
        <v>25492.06</v>
      </c>
      <c r="N29" s="54">
        <f>N7+N16+N27+N28</f>
        <v>24546.7</v>
      </c>
      <c r="O29" s="54">
        <f>O7+O16+O27+O28</f>
        <v>48388.94</v>
      </c>
      <c r="P29" s="54">
        <f>P7+P16+P27+P28</f>
        <v>36673.77</v>
      </c>
      <c r="Q29" s="54">
        <f>Q7+Q16+Q27+Q28</f>
        <v>22912.0</v>
      </c>
      <c r="R29" s="54">
        <f>R7+R16+R27+R28</f>
        <v>21787.99</v>
      </c>
      <c r="S29" s="54">
        <f>S7+S16+S27+S28</f>
        <v>24964.46</v>
      </c>
      <c r="T29" s="54">
        <f>T7+T16+T27+T28</f>
        <v>15277.22</v>
      </c>
      <c r="U29" s="54">
        <f>U7+U16+U27+U28</f>
        <v>44465.82</v>
      </c>
      <c r="V29" s="54">
        <f>V7+V16+V27+V28</f>
        <v>14998.34</v>
      </c>
      <c r="W29" s="54">
        <f>W7+W16+W27+W28</f>
        <v>43777.420000000006</v>
      </c>
      <c r="X29" s="54">
        <f>X7+X16+X27+X28</f>
        <v>22291.31</v>
      </c>
      <c r="Y29" s="54">
        <f>Y7+Y16+Y27+Y28</f>
        <v>33327.93</v>
      </c>
      <c r="Z29" s="54">
        <f>Z7+Z16+Z27+Z28</f>
        <v>33331.24</v>
      </c>
      <c r="AA29" s="54">
        <f>AA7+AA16+AA27+AA28</f>
        <v>49935.66</v>
      </c>
      <c r="AB29" s="54">
        <f>AB7+AB16+AB27+AB28</f>
        <v>39780.51</v>
      </c>
      <c r="AC29" s="54">
        <f>AC7+AC16+AC27+AC28</f>
        <v>41086.54</v>
      </c>
      <c r="AD29" s="54">
        <f>AD7+AD16+AD27+AD28</f>
        <v>38687.19</v>
      </c>
      <c r="AE29" s="54">
        <f>AE7+AE16+AE27+AE28</f>
        <v>22338.79</v>
      </c>
      <c r="AF29" s="54">
        <f>AF7+AF16+AF27+AF28</f>
        <v>40484.74</v>
      </c>
      <c r="AG29" s="54">
        <f>AG7+AG16+AG27+AG28</f>
        <v>29601.920000000002</v>
      </c>
      <c r="AH29" s="54">
        <f>AH7+AH16+AH27+AH28</f>
        <v>16080.8</v>
      </c>
      <c r="AI29" s="54">
        <f>AI7+AI16+AI27+AI28</f>
        <v>31185.63</v>
      </c>
      <c r="AJ29" s="54">
        <f>AJ7+AJ16+AJ27+AJ28</f>
        <v>29808.08</v>
      </c>
      <c r="AK29" s="54">
        <f>AK7+AK16+AK27+AK28</f>
        <v>1505.0</v>
      </c>
      <c r="AL29" s="55">
        <f>B29+C29+D29+E29+F29+G29+H29+I29+J29+K29+L29+M29+N29+O29+P29+Q29+R29+S29+T29+U29+V29+W29+X29+Y29+Z29+AA29+AB29+AC29+AD29+AE29+AF29+AG29+AH29+AI29+AJ29+AK29</f>
        <v>1099722.9100000004</v>
      </c>
    </row>
    <row r="30" spans="1:38" ht="16">
      <c r="A30" s="41" t="s">
        <v>27</v>
      </c>
      <c r="B30" s="52"/>
      <c r="C30" s="52"/>
      <c r="D30" s="52"/>
      <c r="E30" s="52"/>
      <c r="F30" s="57">
        <v>0</v>
      </c>
      <c r="G30" s="52"/>
      <c r="H30" s="52"/>
      <c r="I30" s="52"/>
      <c r="J30" s="52"/>
      <c r="K30" s="52"/>
      <c r="L30" s="52"/>
      <c r="M30" s="52"/>
      <c r="N30" s="53">
        <v>-585.0</v>
      </c>
      <c r="O30" s="52"/>
      <c r="P30" s="57">
        <v>0</v>
      </c>
      <c r="Q30" s="53">
        <v>-549.0</v>
      </c>
      <c r="R30" s="52"/>
      <c r="S30" s="52"/>
      <c r="T30" s="52"/>
      <c r="U30" s="52"/>
      <c r="V30" s="52"/>
      <c r="W30" s="53">
        <v>-691.0</v>
      </c>
      <c r="X30" s="52"/>
      <c r="Y30" s="53">
        <v>727.0</v>
      </c>
      <c r="Z30" s="52"/>
      <c r="AA30" s="53">
        <v>-1176.0</v>
      </c>
      <c r="AB30" s="52"/>
      <c r="AC30" s="53">
        <v>325.0</v>
      </c>
      <c r="AD30" s="53">
        <v>-670.0</v>
      </c>
      <c r="AE30" s="53">
        <v>-595.0</v>
      </c>
      <c r="AF30" s="52"/>
      <c r="AG30" s="52"/>
      <c r="AH30" s="53">
        <v>-512.0</v>
      </c>
      <c r="AI30" s="52"/>
      <c r="AJ30" s="52"/>
      <c r="AK30" s="52"/>
      <c r="AL30" s="53">
        <f>B30+C30+D30+E30+F30+G30+H30+I30+J30+K30+L30+M30+N30+O30+P30+Q30+R30+S30+T30+U30+V30+W30+X30+Y30+Z30+AA30+AB30+AC30+AD30+AE30+AF30+AG30+AH30+AI30+AJ30+AK30</f>
        <v>-3726.0</v>
      </c>
    </row>
    <row r="31" spans="1:38" ht="16">
      <c r="A31" s="41" t="s">
        <v>28</v>
      </c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3">
        <v>-5.0</v>
      </c>
      <c r="AC31" s="53">
        <v>967.0</v>
      </c>
      <c r="AD31" s="52"/>
      <c r="AE31" s="52"/>
      <c r="AF31" s="52"/>
      <c r="AG31" s="52"/>
      <c r="AH31" s="52"/>
      <c r="AI31" s="52"/>
      <c r="AJ31" s="52"/>
      <c r="AK31" s="52"/>
      <c r="AL31" s="53">
        <f>B31+C31+D31+E31+F31+G31+H31+I31+J31+K31+L31+M31+N31+O31+P31+Q31+R31+S31+T31+U31+V31+W31+X31+Y31+Z31+AA31+AB31+AC31+AD31+AE31+AF31+AG31+AH31+AI31+AJ31+AK31</f>
        <v>962.0</v>
      </c>
    </row>
    <row r="32" spans="1:38" ht="16">
      <c r="A32" s="48" t="s">
        <v>29</v>
      </c>
      <c r="B32" s="54">
        <f>B6+B29+B30+B31</f>
        <v>17666.31</v>
      </c>
      <c r="C32" s="54">
        <f>C6+C29+C30+C31</f>
        <v>15277.29</v>
      </c>
      <c r="D32" s="54">
        <f>D6+D29+D30+D31</f>
        <v>49080.14</v>
      </c>
      <c r="E32" s="54">
        <f>E6+E29+E30+E31</f>
        <v>36558.19</v>
      </c>
      <c r="F32" s="54">
        <f>F6+F29+F30+F31</f>
        <v>19302.32</v>
      </c>
      <c r="G32" s="54">
        <f>G6+G29+G30+G31</f>
        <v>19396.03</v>
      </c>
      <c r="H32" s="54">
        <f>H6+H29+H30+H31</f>
        <v>60986.38</v>
      </c>
      <c r="I32" s="54">
        <f>I6+I29+I30+I31</f>
        <v>24075.45</v>
      </c>
      <c r="J32" s="54">
        <f>J6+J29+J30+J31</f>
        <v>31432.510000000002</v>
      </c>
      <c r="K32" s="54">
        <f>K6+K29+K30+K31</f>
        <v>31613.539999999997</v>
      </c>
      <c r="L32" s="54">
        <f>L6+L29+L30+L31</f>
        <v>41604.69</v>
      </c>
      <c r="M32" s="54">
        <f>M6+M29+M30+M31</f>
        <v>25492.06</v>
      </c>
      <c r="N32" s="54">
        <f>N6+N29+N30+N31</f>
        <v>23961.7</v>
      </c>
      <c r="O32" s="54">
        <f>O6+O29+O30+O31</f>
        <v>48388.94</v>
      </c>
      <c r="P32" s="54">
        <f>P6+P29+P30+P31</f>
        <v>36673.77</v>
      </c>
      <c r="Q32" s="54">
        <f>Q6+Q29+Q30+Q31</f>
        <v>22363.0</v>
      </c>
      <c r="R32" s="54">
        <f>R6+R29+R30+R31</f>
        <v>21787.99</v>
      </c>
      <c r="S32" s="54">
        <f>S6+S29+S30+S31</f>
        <v>24964.46</v>
      </c>
      <c r="T32" s="54">
        <f>T6+T29+T30+T31</f>
        <v>15277.22</v>
      </c>
      <c r="U32" s="54">
        <f>U6+U29+U30+U31</f>
        <v>44465.82</v>
      </c>
      <c r="V32" s="54">
        <f>V6+V29+V30+V31</f>
        <v>14998.34</v>
      </c>
      <c r="W32" s="54">
        <f>W6+W29+W30+W31</f>
        <v>43086.420000000006</v>
      </c>
      <c r="X32" s="54">
        <f>X6+X29+X30+X31</f>
        <v>22291.31</v>
      </c>
      <c r="Y32" s="54">
        <f>Y6+Y29+Y30+Y31</f>
        <v>34054.93</v>
      </c>
      <c r="Z32" s="54">
        <f>Z6+Z29+Z30+Z31</f>
        <v>33331.24</v>
      </c>
      <c r="AA32" s="54">
        <f>AA6+AA29+AA30+AA31</f>
        <v>48759.66</v>
      </c>
      <c r="AB32" s="54">
        <f>AB6+AB29+AB30+AB31</f>
        <v>39775.51</v>
      </c>
      <c r="AC32" s="54">
        <f>AC6+AC29+AC30+AC31</f>
        <v>42378.54</v>
      </c>
      <c r="AD32" s="54">
        <f>AD6+AD29+AD30+AD31</f>
        <v>38017.19</v>
      </c>
      <c r="AE32" s="54">
        <f>AE6+AE29+AE30+AE31</f>
        <v>21743.79</v>
      </c>
      <c r="AF32" s="54">
        <f>AF6+AF29+AF30+AF31</f>
        <v>40484.74</v>
      </c>
      <c r="AG32" s="54">
        <f>AG6+AG29+AG30+AG31</f>
        <v>29601.920000000002</v>
      </c>
      <c r="AH32" s="54">
        <f>AH6+AH29+AH30+AH31</f>
        <v>15568.8</v>
      </c>
      <c r="AI32" s="54">
        <f>AI6+AI29+AI30+AI31</f>
        <v>31185.63</v>
      </c>
      <c r="AJ32" s="54">
        <f>AJ6+AJ29+AJ30+AJ31</f>
        <v>29808.08</v>
      </c>
      <c r="AK32" s="54">
        <f>AK6+AK29+AK30+AK31</f>
        <v>1505.0</v>
      </c>
      <c r="AL32" s="55">
        <f>B32+C32+D32+E32+F32+G32+H32+I32+J32+K32+L32+M32+N32+O32+P32+Q32+R32+S32+T32+U32+V32+W32+X32+Y32+Z32+AA32+AB32+AC32+AD32+AE32+AF32+AG32+AH32+AI32+AJ32+AK32</f>
        <v>1096958.9100000004</v>
      </c>
    </row>
    <row r="33" spans="1:37" ht="16">
      <c r="A33" s="40" t="s">
        <v>30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</row>
    <row r="34" spans="1:38" ht="16">
      <c r="A34" s="41" t="s">
        <v>31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</row>
    <row r="35" spans="1:38" ht="16">
      <c r="A35" s="42" t="s">
        <v>32</v>
      </c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3">
        <v>175.44</v>
      </c>
      <c r="Q35" s="52"/>
      <c r="R35" s="52"/>
      <c r="S35" s="52"/>
      <c r="T35" s="52"/>
      <c r="U35" s="53">
        <v>-14.71</v>
      </c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3">
        <v>4.0</v>
      </c>
      <c r="AH35" s="52"/>
      <c r="AI35" s="52"/>
      <c r="AJ35" s="53">
        <v>183.46</v>
      </c>
      <c r="AK35" s="52"/>
      <c r="AL35" s="53">
        <f>B35+C35+D35+E35+F35+G35+H35+I35+J35+K35+L35+M35+N35+O35+P35+Q35+R35+S35+T35+U35+V35+W35+X35+Y35+Z35+AA35+AB35+AC35+AD35+AE35+AF35+AG35+AH35+AI35+AJ35+AK35</f>
        <v>348.19</v>
      </c>
    </row>
    <row r="36" spans="1:38" ht="16">
      <c r="A36" s="43" t="s">
        <v>33</v>
      </c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3">
        <v>2081.3</v>
      </c>
      <c r="AJ36" s="52"/>
      <c r="AK36" s="52"/>
      <c r="AL36" s="53">
        <f>B36+C36+D36+E36+F36+G36+H36+I36+J36+K36+L36+M36+N36+O36+P36+Q36+R36+S36+T36+U36+V36+W36+X36+Y36+Z36+AA36+AB36+AC36+AD36+AE36+AF36+AG36+AH36+AI36+AJ36+AK36</f>
        <v>2081.3</v>
      </c>
    </row>
    <row r="37" spans="1:38" ht="16">
      <c r="A37" s="43" t="s">
        <v>34</v>
      </c>
      <c r="B37" s="52"/>
      <c r="C37" s="52"/>
      <c r="D37" s="52"/>
      <c r="E37" s="53">
        <v>-44.56</v>
      </c>
      <c r="F37" s="53">
        <v>2280.6</v>
      </c>
      <c r="G37" s="52"/>
      <c r="H37" s="52"/>
      <c r="I37" s="53">
        <v>168.29</v>
      </c>
      <c r="J37" s="53">
        <v>207.69</v>
      </c>
      <c r="K37" s="53">
        <v>329.92</v>
      </c>
      <c r="L37" s="53">
        <v>66.68</v>
      </c>
      <c r="M37" s="52"/>
      <c r="N37" s="53">
        <v>31.21</v>
      </c>
      <c r="O37" s="52"/>
      <c r="P37" s="53">
        <v>2384.37</v>
      </c>
      <c r="Q37" s="53">
        <v>1571.34</v>
      </c>
      <c r="R37" s="53">
        <v>124.97</v>
      </c>
      <c r="S37" s="53">
        <v>171.92</v>
      </c>
      <c r="T37" s="53">
        <v>-86.51</v>
      </c>
      <c r="U37" s="53">
        <v>464.96</v>
      </c>
      <c r="V37" s="53">
        <v>804.06</v>
      </c>
      <c r="W37" s="52"/>
      <c r="X37" s="52"/>
      <c r="Y37" s="53">
        <v>541.12</v>
      </c>
      <c r="Z37" s="53">
        <v>2737.63</v>
      </c>
      <c r="AA37" s="53">
        <v>52.98</v>
      </c>
      <c r="AB37" s="53">
        <v>58.84</v>
      </c>
      <c r="AC37" s="52"/>
      <c r="AD37" s="53">
        <v>251.82</v>
      </c>
      <c r="AE37" s="53">
        <v>80.29</v>
      </c>
      <c r="AF37" s="52"/>
      <c r="AG37" s="53">
        <v>7.49</v>
      </c>
      <c r="AH37" s="53">
        <v>2576.94</v>
      </c>
      <c r="AI37" s="52"/>
      <c r="AJ37" s="52"/>
      <c r="AK37" s="52"/>
      <c r="AL37" s="53">
        <f>B37+C37+D37+E37+F37+G37+H37+I37+J37+K37+L37+M37+N37+O37+P37+Q37+R37+S37+T37+U37+V37+W37+X37+Y37+Z37+AA37+AB37+AC37+AD37+AE37+AF37+AG37+AH37+AI37+AJ37+AK37</f>
        <v>14782.050000000003</v>
      </c>
    </row>
    <row r="38" spans="1:38" ht="16">
      <c r="A38" s="43" t="s">
        <v>35</v>
      </c>
      <c r="B38" s="52"/>
      <c r="C38" s="52"/>
      <c r="D38" s="52"/>
      <c r="E38" s="52"/>
      <c r="F38" s="52"/>
      <c r="G38" s="52"/>
      <c r="H38" s="52"/>
      <c r="I38" s="53">
        <v>2844.0</v>
      </c>
      <c r="J38" s="52"/>
      <c r="K38" s="53">
        <v>1887.45</v>
      </c>
      <c r="L38" s="53">
        <v>81.34</v>
      </c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3">
        <v>532.24</v>
      </c>
      <c r="Z38" s="53">
        <v>278.42</v>
      </c>
      <c r="AA38" s="52"/>
      <c r="AB38" s="52"/>
      <c r="AC38" s="53">
        <v>4151.12</v>
      </c>
      <c r="AD38" s="53">
        <v>242.97</v>
      </c>
      <c r="AE38" s="52"/>
      <c r="AF38" s="52"/>
      <c r="AG38" s="52"/>
      <c r="AH38" s="52"/>
      <c r="AI38" s="53">
        <v>631.87</v>
      </c>
      <c r="AJ38" s="52"/>
      <c r="AK38" s="52"/>
      <c r="AL38" s="53">
        <f>B38+C38+D38+E38+F38+G38+H38+I38+J38+K38+L38+M38+N38+O38+P38+Q38+R38+S38+T38+U38+V38+W38+X38+Y38+Z38+AA38+AB38+AC38+AD38+AE38+AF38+AG38+AH38+AI38+AJ38+AK38</f>
        <v>10649.41</v>
      </c>
    </row>
    <row r="39" spans="1:38" ht="16">
      <c r="A39" s="43" t="s">
        <v>36</v>
      </c>
      <c r="B39" s="52"/>
      <c r="C39" s="53">
        <v>138.04</v>
      </c>
      <c r="D39" s="53">
        <v>118.37</v>
      </c>
      <c r="E39" s="53">
        <v>149.63</v>
      </c>
      <c r="F39" s="53">
        <v>552.32</v>
      </c>
      <c r="G39" s="53">
        <v>284.66</v>
      </c>
      <c r="H39" s="53">
        <v>73.22</v>
      </c>
      <c r="I39" s="53">
        <v>323.8</v>
      </c>
      <c r="J39" s="53">
        <v>986.99</v>
      </c>
      <c r="K39" s="53">
        <v>245.98</v>
      </c>
      <c r="L39" s="53">
        <v>2947.58</v>
      </c>
      <c r="M39" s="53">
        <v>363.56</v>
      </c>
      <c r="N39" s="53">
        <v>274.0</v>
      </c>
      <c r="O39" s="53">
        <v>77.23</v>
      </c>
      <c r="P39" s="53">
        <v>135.59</v>
      </c>
      <c r="Q39" s="53">
        <v>653.92</v>
      </c>
      <c r="R39" s="53">
        <v>466.77</v>
      </c>
      <c r="S39" s="53">
        <v>1757.22</v>
      </c>
      <c r="T39" s="53">
        <v>172.05</v>
      </c>
      <c r="U39" s="53">
        <v>537.38</v>
      </c>
      <c r="V39" s="53">
        <v>287.89</v>
      </c>
      <c r="W39" s="53">
        <v>156.96</v>
      </c>
      <c r="X39" s="53">
        <v>732.28</v>
      </c>
      <c r="Y39" s="53">
        <v>366.17</v>
      </c>
      <c r="Z39" s="53">
        <v>1129.86</v>
      </c>
      <c r="AA39" s="53">
        <v>1378.63</v>
      </c>
      <c r="AB39" s="53">
        <v>1411.61</v>
      </c>
      <c r="AC39" s="53">
        <v>1234.56</v>
      </c>
      <c r="AD39" s="53">
        <v>233.97</v>
      </c>
      <c r="AE39" s="53">
        <v>2707.76</v>
      </c>
      <c r="AF39" s="53">
        <v>1134.43</v>
      </c>
      <c r="AG39" s="53">
        <v>294.33</v>
      </c>
      <c r="AH39" s="53">
        <v>724.32</v>
      </c>
      <c r="AI39" s="53">
        <v>80.52</v>
      </c>
      <c r="AJ39" s="52"/>
      <c r="AK39" s="52"/>
      <c r="AL39" s="53">
        <f>B39+C39+D39+E39+F39+G39+H39+I39+J39+K39+L39+M39+N39+O39+P39+Q39+R39+S39+T39+U39+V39+W39+X39+Y39+Z39+AA39+AB39+AC39+AD39+AE39+AF39+AG39+AH39+AI39+AJ39+AK39</f>
        <v>22131.600000000002</v>
      </c>
    </row>
    <row r="40" spans="1:38" ht="16">
      <c r="A40" s="44" t="s">
        <v>37</v>
      </c>
      <c r="B40" s="55">
        <f>B35+B36+B37+B38+B39</f>
        <v>0.0</v>
      </c>
      <c r="C40" s="54">
        <f>C35+C36+C37+C38+C39</f>
        <v>138.04</v>
      </c>
      <c r="D40" s="54">
        <f>D35+D36+D37+D38+D39</f>
        <v>118.37</v>
      </c>
      <c r="E40" s="54">
        <f>E35+E36+E37+E38+E39</f>
        <v>105.07</v>
      </c>
      <c r="F40" s="54">
        <f>F35+F36+F37+F38+F39</f>
        <v>2832.92</v>
      </c>
      <c r="G40" s="54">
        <f>G35+G36+G37+G38+G39</f>
        <v>284.66</v>
      </c>
      <c r="H40" s="54">
        <f>H35+H36+H37+H38+H39</f>
        <v>73.22</v>
      </c>
      <c r="I40" s="54">
        <f>I35+I36+I37+I38+I39</f>
        <v>3336.09</v>
      </c>
      <c r="J40" s="54">
        <f>J35+J36+J37+J38+J39</f>
        <v>1194.68</v>
      </c>
      <c r="K40" s="54">
        <f>K35+K36+K37+K38+K39</f>
        <v>2463.35</v>
      </c>
      <c r="L40" s="54">
        <f>L35+L36+L37+L38+L39</f>
        <v>3095.6</v>
      </c>
      <c r="M40" s="54">
        <f>M35+M36+M37+M38+M39</f>
        <v>363.56</v>
      </c>
      <c r="N40" s="54">
        <f>N35+N36+N37+N38+N39</f>
        <v>305.21</v>
      </c>
      <c r="O40" s="54">
        <f>O35+O36+O37+O38+O39</f>
        <v>77.23</v>
      </c>
      <c r="P40" s="54">
        <f>P35+P36+P37+P38+P39</f>
        <v>2695.4</v>
      </c>
      <c r="Q40" s="54">
        <f>Q35+Q36+Q37+Q38+Q39</f>
        <v>2225.2599999999998</v>
      </c>
      <c r="R40" s="54">
        <f>R35+R36+R37+R38+R39</f>
        <v>591.74</v>
      </c>
      <c r="S40" s="54">
        <f>S35+S36+S37+S38+S39</f>
        <v>1929.14</v>
      </c>
      <c r="T40" s="54">
        <f>T35+T36+T37+T38+T39</f>
        <v>85.54</v>
      </c>
      <c r="U40" s="54">
        <f>U35+U36+U37+U38+U39</f>
        <v>987.63</v>
      </c>
      <c r="V40" s="54">
        <f>V35+V36+V37+V38+V39</f>
        <v>1091.9499999999998</v>
      </c>
      <c r="W40" s="54">
        <f>W35+W36+W37+W38+W39</f>
        <v>156.96</v>
      </c>
      <c r="X40" s="54">
        <f>X35+X36+X37+X38+X39</f>
        <v>732.28</v>
      </c>
      <c r="Y40" s="54">
        <f>Y35+Y36+Y37+Y38+Y39</f>
        <v>1439.5300000000002</v>
      </c>
      <c r="Z40" s="54">
        <f>Z35+Z36+Z37+Z38+Z39</f>
        <v>4145.91</v>
      </c>
      <c r="AA40" s="54">
        <f>AA35+AA36+AA37+AA38+AA39</f>
        <v>1431.6100000000001</v>
      </c>
      <c r="AB40" s="54">
        <f>AB35+AB36+AB37+AB38+AB39</f>
        <v>1470.4499999999998</v>
      </c>
      <c r="AC40" s="54">
        <f>AC35+AC36+AC37+AC38+AC39</f>
        <v>5385.68</v>
      </c>
      <c r="AD40" s="54">
        <f>AD35+AD36+AD37+AD38+AD39</f>
        <v>728.76</v>
      </c>
      <c r="AE40" s="54">
        <f>AE35+AE36+AE37+AE38+AE39</f>
        <v>2788.05</v>
      </c>
      <c r="AF40" s="54">
        <f>AF35+AF36+AF37+AF38+AF39</f>
        <v>1134.43</v>
      </c>
      <c r="AG40" s="54">
        <f>AG35+AG36+AG37+AG38+AG39</f>
        <v>305.82</v>
      </c>
      <c r="AH40" s="54">
        <f>AH35+AH36+AH37+AH38+AH39</f>
        <v>3301.26</v>
      </c>
      <c r="AI40" s="54">
        <f>AI35+AI36+AI37+AI38+AI39</f>
        <v>2793.69</v>
      </c>
      <c r="AJ40" s="54">
        <f>AJ35+AJ36+AJ37+AJ38+AJ39</f>
        <v>183.46</v>
      </c>
      <c r="AK40" s="55">
        <f>AK35+AK36+AK37+AK38+AK39</f>
        <v>0.0</v>
      </c>
      <c r="AL40" s="55">
        <f>B40+C40+D40+E40+F40+G40+H40+I40+J40+K40+L40+M40+N40+O40+P40+Q40+R40+S40+T40+U40+V40+W40+X40+Y40+Z40+AA40+AB40+AC40+AD40+AE40+AF40+AG40+AH40+AI40+AJ40+AK40</f>
        <v>49992.55</v>
      </c>
    </row>
    <row r="41" spans="1:38" ht="16">
      <c r="A41" s="42" t="s">
        <v>38</v>
      </c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3">
        <v>500.0</v>
      </c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3">
        <f>B41+C41+D41+E41+F41+G41+H41+I41+J41+K41+L41+M41+N41+O41+P41+Q41+R41+S41+T41+U41+V41+W41+X41+Y41+Z41+AA41+AB41+AC41+AD41+AE41+AF41+AG41+AH41+AI41+AJ41+AK41</f>
        <v>500.0</v>
      </c>
    </row>
    <row r="42" spans="1:38" ht="16">
      <c r="A42" s="42" t="s">
        <v>39</v>
      </c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3">
        <v>50.0</v>
      </c>
      <c r="M42" s="53">
        <v>233.28</v>
      </c>
      <c r="N42" s="52"/>
      <c r="O42" s="52"/>
      <c r="P42" s="52"/>
      <c r="Q42" s="52"/>
      <c r="R42" s="53">
        <v>798.06</v>
      </c>
      <c r="S42" s="53">
        <v>1270.08</v>
      </c>
      <c r="T42" s="52"/>
      <c r="U42" s="52"/>
      <c r="V42" s="52"/>
      <c r="W42" s="52"/>
      <c r="X42" s="53">
        <v>1259.74</v>
      </c>
      <c r="Y42" s="52"/>
      <c r="Z42" s="52"/>
      <c r="AA42" s="52"/>
      <c r="AB42" s="53">
        <v>1324.0</v>
      </c>
      <c r="AC42" s="52"/>
      <c r="AD42" s="52"/>
      <c r="AE42" s="53">
        <v>1270.08</v>
      </c>
      <c r="AF42" s="52"/>
      <c r="AG42" s="52"/>
      <c r="AH42" s="52"/>
      <c r="AI42" s="52"/>
      <c r="AJ42" s="52"/>
      <c r="AK42" s="52"/>
      <c r="AL42" s="53">
        <f>B42+C42+D42+E42+F42+G42+H42+I42+J42+K42+L42+M42+N42+O42+P42+Q42+R42+S42+T42+U42+V42+W42+X42+Y42+Z42+AA42+AB42+AC42+AD42+AE42+AF42+AG42+AH42+AI42+AJ42+AK42</f>
        <v>6205.24</v>
      </c>
    </row>
    <row r="43" spans="1:38" ht="16">
      <c r="A43" s="43" t="s">
        <v>40</v>
      </c>
      <c r="B43" s="52"/>
      <c r="C43" s="52"/>
      <c r="D43" s="52"/>
      <c r="E43" s="52"/>
      <c r="F43" s="52"/>
      <c r="G43" s="52"/>
      <c r="H43" s="52"/>
      <c r="I43" s="52"/>
      <c r="J43" s="52"/>
      <c r="K43" s="53">
        <v>113.97</v>
      </c>
      <c r="L43" s="52"/>
      <c r="M43" s="52"/>
      <c r="N43" s="53">
        <v>44.77</v>
      </c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3">
        <f>B43+C43+D43+E43+F43+G43+H43+I43+J43+K43+L43+M43+N43+O43+P43+Q43+R43+S43+T43+U43+V43+W43+X43+Y43+Z43+AA43+AB43+AC43+AD43+AE43+AF43+AG43+AH43+AI43+AJ43+AK43</f>
        <v>158.74</v>
      </c>
    </row>
    <row r="44" spans="1:38" ht="16">
      <c r="A44" s="45" t="s">
        <v>41</v>
      </c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3">
        <v>299.65</v>
      </c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3">
        <f>B44+C44+D44+E44+F44+G44+H44+I44+J44+K44+L44+M44+N44+O44+P44+Q44+R44+S44+T44+U44+V44+W44+X44+Y44+Z44+AA44+AB44+AC44+AD44+AE44+AF44+AG44+AH44+AI44+AJ44+AK44</f>
        <v>299.65</v>
      </c>
    </row>
    <row r="45" spans="1:38" ht="16">
      <c r="A45" s="46" t="s">
        <v>42</v>
      </c>
      <c r="B45" s="55">
        <f>B43+B44</f>
        <v>0.0</v>
      </c>
      <c r="C45" s="55">
        <f>C43+C44</f>
        <v>0.0</v>
      </c>
      <c r="D45" s="55">
        <f>D43+D44</f>
        <v>0.0</v>
      </c>
      <c r="E45" s="55">
        <f>E43+E44</f>
        <v>0.0</v>
      </c>
      <c r="F45" s="55">
        <f>F43+F44</f>
        <v>0.0</v>
      </c>
      <c r="G45" s="55">
        <f>G43+G44</f>
        <v>0.0</v>
      </c>
      <c r="H45" s="55">
        <f>H43+H44</f>
        <v>0.0</v>
      </c>
      <c r="I45" s="55">
        <f>I43+I44</f>
        <v>0.0</v>
      </c>
      <c r="J45" s="55">
        <f>J43+J44</f>
        <v>0.0</v>
      </c>
      <c r="K45" s="54">
        <f>K43+K44</f>
        <v>113.97</v>
      </c>
      <c r="L45" s="55">
        <f>L43+L44</f>
        <v>0.0</v>
      </c>
      <c r="M45" s="55">
        <f>M43+M44</f>
        <v>0.0</v>
      </c>
      <c r="N45" s="54">
        <f>N43+N44</f>
        <v>44.77</v>
      </c>
      <c r="O45" s="55">
        <f>O43+O44</f>
        <v>0.0</v>
      </c>
      <c r="P45" s="55">
        <f>P43+P44</f>
        <v>0.0</v>
      </c>
      <c r="Q45" s="55">
        <f>Q43+Q44</f>
        <v>0.0</v>
      </c>
      <c r="R45" s="55">
        <f>R43+R44</f>
        <v>0.0</v>
      </c>
      <c r="S45" s="55">
        <f>S43+S44</f>
        <v>0.0</v>
      </c>
      <c r="T45" s="55">
        <f>T43+T44</f>
        <v>0.0</v>
      </c>
      <c r="U45" s="55">
        <f>U43+U44</f>
        <v>0.0</v>
      </c>
      <c r="V45" s="55">
        <f>V43+V44</f>
        <v>0.0</v>
      </c>
      <c r="W45" s="55">
        <f>W43+W44</f>
        <v>0.0</v>
      </c>
      <c r="X45" s="54">
        <f>X43+X44</f>
        <v>299.65</v>
      </c>
      <c r="Y45" s="55">
        <f>Y43+Y44</f>
        <v>0.0</v>
      </c>
      <c r="Z45" s="55">
        <f>Z43+Z44</f>
        <v>0.0</v>
      </c>
      <c r="AA45" s="55">
        <f>AA43+AA44</f>
        <v>0.0</v>
      </c>
      <c r="AB45" s="55">
        <f>AB43+AB44</f>
        <v>0.0</v>
      </c>
      <c r="AC45" s="55">
        <f>AC43+AC44</f>
        <v>0.0</v>
      </c>
      <c r="AD45" s="55">
        <f>AD43+AD44</f>
        <v>0.0</v>
      </c>
      <c r="AE45" s="55">
        <f>AE43+AE44</f>
        <v>0.0</v>
      </c>
      <c r="AF45" s="55">
        <f>AF43+AF44</f>
        <v>0.0</v>
      </c>
      <c r="AG45" s="55">
        <f>AG43+AG44</f>
        <v>0.0</v>
      </c>
      <c r="AH45" s="55">
        <f>AH43+AH44</f>
        <v>0.0</v>
      </c>
      <c r="AI45" s="55">
        <f>AI43+AI44</f>
        <v>0.0</v>
      </c>
      <c r="AJ45" s="55">
        <f>AJ43+AJ44</f>
        <v>0.0</v>
      </c>
      <c r="AK45" s="55">
        <f>AK43+AK44</f>
        <v>0.0</v>
      </c>
      <c r="AL45" s="55">
        <f>B45+C45+D45+E45+F45+G45+H45+I45+J45+K45+L45+M45+N45+O45+P45+Q45+R45+S45+T45+U45+V45+W45+X45+Y45+Z45+AA45+AB45+AC45+AD45+AE45+AF45+AG45+AH45+AI45+AJ45+AK45</f>
        <v>458.39</v>
      </c>
    </row>
    <row r="46" spans="1:38" ht="16">
      <c r="A46" s="43" t="s">
        <v>43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</row>
    <row r="47" spans="1:38" ht="16">
      <c r="A47" s="45" t="s">
        <v>44</v>
      </c>
      <c r="B47" s="52"/>
      <c r="C47" s="52"/>
      <c r="D47" s="52"/>
      <c r="E47" s="52"/>
      <c r="F47" s="52"/>
      <c r="G47" s="52"/>
      <c r="H47" s="53">
        <v>208.53</v>
      </c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3">
        <f>B47+C47+D47+E47+F47+G47+H47+I47+J47+K47+L47+M47+N47+O47+P47+Q47+R47+S47+T47+U47+V47+W47+X47+Y47+Z47+AA47+AB47+AC47+AD47+AE47+AF47+AG47+AH47+AI47+AJ47+AK47</f>
        <v>208.53</v>
      </c>
    </row>
    <row r="48" spans="1:38" ht="16">
      <c r="A48" s="46" t="s">
        <v>45</v>
      </c>
      <c r="B48" s="55">
        <f>B46+B47</f>
        <v>0.0</v>
      </c>
      <c r="C48" s="55">
        <f>C46+C47</f>
        <v>0.0</v>
      </c>
      <c r="D48" s="55">
        <f>D46+D47</f>
        <v>0.0</v>
      </c>
      <c r="E48" s="55">
        <f>E46+E47</f>
        <v>0.0</v>
      </c>
      <c r="F48" s="55">
        <f>F46+F47</f>
        <v>0.0</v>
      </c>
      <c r="G48" s="55">
        <f>G46+G47</f>
        <v>0.0</v>
      </c>
      <c r="H48" s="54">
        <f>H46+H47</f>
        <v>208.53</v>
      </c>
      <c r="I48" s="55">
        <f>I46+I47</f>
        <v>0.0</v>
      </c>
      <c r="J48" s="55">
        <f>J46+J47</f>
        <v>0.0</v>
      </c>
      <c r="K48" s="55">
        <f>K46+K47</f>
        <v>0.0</v>
      </c>
      <c r="L48" s="55">
        <f>L46+L47</f>
        <v>0.0</v>
      </c>
      <c r="M48" s="55">
        <f>M46+M47</f>
        <v>0.0</v>
      </c>
      <c r="N48" s="55">
        <f>N46+N47</f>
        <v>0.0</v>
      </c>
      <c r="O48" s="55">
        <f>O46+O47</f>
        <v>0.0</v>
      </c>
      <c r="P48" s="55">
        <f>P46+P47</f>
        <v>0.0</v>
      </c>
      <c r="Q48" s="55">
        <f>Q46+Q47</f>
        <v>0.0</v>
      </c>
      <c r="R48" s="55">
        <f>R46+R47</f>
        <v>0.0</v>
      </c>
      <c r="S48" s="55">
        <f>S46+S47</f>
        <v>0.0</v>
      </c>
      <c r="T48" s="55">
        <f>T46+T47</f>
        <v>0.0</v>
      </c>
      <c r="U48" s="55">
        <f>U46+U47</f>
        <v>0.0</v>
      </c>
      <c r="V48" s="55">
        <f>V46+V47</f>
        <v>0.0</v>
      </c>
      <c r="W48" s="55">
        <f>W46+W47</f>
        <v>0.0</v>
      </c>
      <c r="X48" s="55">
        <f>X46+X47</f>
        <v>0.0</v>
      </c>
      <c r="Y48" s="55">
        <f>Y46+Y47</f>
        <v>0.0</v>
      </c>
      <c r="Z48" s="55">
        <f>Z46+Z47</f>
        <v>0.0</v>
      </c>
      <c r="AA48" s="55">
        <f>AA46+AA47</f>
        <v>0.0</v>
      </c>
      <c r="AB48" s="55">
        <f>AB46+AB47</f>
        <v>0.0</v>
      </c>
      <c r="AC48" s="55">
        <f>AC46+AC47</f>
        <v>0.0</v>
      </c>
      <c r="AD48" s="55">
        <f>AD46+AD47</f>
        <v>0.0</v>
      </c>
      <c r="AE48" s="55">
        <f>AE46+AE47</f>
        <v>0.0</v>
      </c>
      <c r="AF48" s="55">
        <f>AF46+AF47</f>
        <v>0.0</v>
      </c>
      <c r="AG48" s="55">
        <f>AG46+AG47</f>
        <v>0.0</v>
      </c>
      <c r="AH48" s="55">
        <f>AH46+AH47</f>
        <v>0.0</v>
      </c>
      <c r="AI48" s="55">
        <f>AI46+AI47</f>
        <v>0.0</v>
      </c>
      <c r="AJ48" s="55">
        <f>AJ46+AJ47</f>
        <v>0.0</v>
      </c>
      <c r="AK48" s="55">
        <f>AK46+AK47</f>
        <v>0.0</v>
      </c>
      <c r="AL48" s="55">
        <f>B48+C48+D48+E48+F48+G48+H48+I48+J48+K48+L48+M48+N48+O48+P48+Q48+R48+S48+T48+U48+V48+W48+X48+Y48+Z48+AA48+AB48+AC48+AD48+AE48+AF48+AG48+AH48+AI48+AJ48+AK48</f>
        <v>208.53</v>
      </c>
    </row>
    <row r="49" spans="1:38" ht="16">
      <c r="A49" s="44" t="s">
        <v>46</v>
      </c>
      <c r="B49" s="55">
        <f>B42+B45+B48</f>
        <v>0.0</v>
      </c>
      <c r="C49" s="55">
        <f>C42+C45+C48</f>
        <v>0.0</v>
      </c>
      <c r="D49" s="55">
        <f>D42+D45+D48</f>
        <v>0.0</v>
      </c>
      <c r="E49" s="55">
        <f>E42+E45+E48</f>
        <v>0.0</v>
      </c>
      <c r="F49" s="55">
        <f>F42+F45+F48</f>
        <v>0.0</v>
      </c>
      <c r="G49" s="55">
        <f>G42+G45+G48</f>
        <v>0.0</v>
      </c>
      <c r="H49" s="54">
        <f>H42+H45+H48</f>
        <v>208.53</v>
      </c>
      <c r="I49" s="55">
        <f>I42+I45+I48</f>
        <v>0.0</v>
      </c>
      <c r="J49" s="55">
        <f>J42+J45+J48</f>
        <v>0.0</v>
      </c>
      <c r="K49" s="54">
        <f>K42+K45+K48</f>
        <v>113.97</v>
      </c>
      <c r="L49" s="54">
        <f>L42+L45+L48</f>
        <v>50.0</v>
      </c>
      <c r="M49" s="54">
        <f>M42+M45+M48</f>
        <v>233.28</v>
      </c>
      <c r="N49" s="54">
        <f>N42+N45+N48</f>
        <v>44.77</v>
      </c>
      <c r="O49" s="55">
        <f>O42+O45+O48</f>
        <v>0.0</v>
      </c>
      <c r="P49" s="55">
        <f>P42+P45+P48</f>
        <v>0.0</v>
      </c>
      <c r="Q49" s="55">
        <f>Q42+Q45+Q48</f>
        <v>0.0</v>
      </c>
      <c r="R49" s="54">
        <f>R42+R45+R48</f>
        <v>798.06</v>
      </c>
      <c r="S49" s="54">
        <f>S42+S45+S48</f>
        <v>1270.08</v>
      </c>
      <c r="T49" s="55">
        <f>T42+T45+T48</f>
        <v>0.0</v>
      </c>
      <c r="U49" s="55">
        <f>U42+U45+U48</f>
        <v>0.0</v>
      </c>
      <c r="V49" s="55">
        <f>V42+V45+V48</f>
        <v>0.0</v>
      </c>
      <c r="W49" s="55">
        <f>W42+W45+W48</f>
        <v>0.0</v>
      </c>
      <c r="X49" s="54">
        <f>X42+X45+X48</f>
        <v>1559.3899999999999</v>
      </c>
      <c r="Y49" s="55">
        <f>Y42+Y45+Y48</f>
        <v>0.0</v>
      </c>
      <c r="Z49" s="55">
        <f>Z42+Z45+Z48</f>
        <v>0.0</v>
      </c>
      <c r="AA49" s="55">
        <f>AA42+AA45+AA48</f>
        <v>0.0</v>
      </c>
      <c r="AB49" s="54">
        <f>AB42+AB45+AB48</f>
        <v>1324.0</v>
      </c>
      <c r="AC49" s="55">
        <f>AC42+AC45+AC48</f>
        <v>0.0</v>
      </c>
      <c r="AD49" s="55">
        <f>AD42+AD45+AD48</f>
        <v>0.0</v>
      </c>
      <c r="AE49" s="54">
        <f>AE42+AE45+AE48</f>
        <v>1270.08</v>
      </c>
      <c r="AF49" s="55">
        <f>AF42+AF45+AF48</f>
        <v>0.0</v>
      </c>
      <c r="AG49" s="55">
        <f>AG42+AG45+AG48</f>
        <v>0.0</v>
      </c>
      <c r="AH49" s="55">
        <f>AH42+AH45+AH48</f>
        <v>0.0</v>
      </c>
      <c r="AI49" s="55">
        <f>AI42+AI45+AI48</f>
        <v>0.0</v>
      </c>
      <c r="AJ49" s="55">
        <f>AJ42+AJ45+AJ48</f>
        <v>0.0</v>
      </c>
      <c r="AK49" s="55">
        <f>AK42+AK45+AK48</f>
        <v>0.0</v>
      </c>
      <c r="AL49" s="55">
        <f>B49+C49+D49+E49+F49+G49+H49+I49+J49+K49+L49+M49+N49+O49+P49+Q49+R49+S49+T49+U49+V49+W49+X49+Y49+Z49+AA49+AB49+AC49+AD49+AE49+AF49+AG49+AH49+AI49+AJ49+AK49</f>
        <v>6872.16</v>
      </c>
    </row>
    <row r="50" spans="1:38" ht="16">
      <c r="A50" s="47" t="s">
        <v>47</v>
      </c>
      <c r="B50" s="55">
        <f>B34+B40+B41+B49</f>
        <v>0.0</v>
      </c>
      <c r="C50" s="54">
        <f>C34+C40+C41+C49</f>
        <v>138.04</v>
      </c>
      <c r="D50" s="54">
        <f>D34+D40+D41+D49</f>
        <v>118.37</v>
      </c>
      <c r="E50" s="54">
        <f>E34+E40+E41+E49</f>
        <v>105.07</v>
      </c>
      <c r="F50" s="54">
        <f>F34+F40+F41+F49</f>
        <v>2832.92</v>
      </c>
      <c r="G50" s="54">
        <f>G34+G40+G41+G49</f>
        <v>284.66</v>
      </c>
      <c r="H50" s="54">
        <f>H34+H40+H41+H49</f>
        <v>281.75</v>
      </c>
      <c r="I50" s="54">
        <f>I34+I40+I41+I49</f>
        <v>3336.09</v>
      </c>
      <c r="J50" s="54">
        <f>J34+J40+J41+J49</f>
        <v>1194.68</v>
      </c>
      <c r="K50" s="54">
        <f>K34+K40+K41+K49</f>
        <v>2577.3199999999997</v>
      </c>
      <c r="L50" s="54">
        <f>L34+L40+L41+L49</f>
        <v>3645.6</v>
      </c>
      <c r="M50" s="54">
        <f>M34+M40+M41+M49</f>
        <v>596.84</v>
      </c>
      <c r="N50" s="54">
        <f>N34+N40+N41+N49</f>
        <v>349.97999999999996</v>
      </c>
      <c r="O50" s="54">
        <f>O34+O40+O41+O49</f>
        <v>77.23</v>
      </c>
      <c r="P50" s="54">
        <f>P34+P40+P41+P49</f>
        <v>2695.4</v>
      </c>
      <c r="Q50" s="54">
        <f>Q34+Q40+Q41+Q49</f>
        <v>2225.2599999999998</v>
      </c>
      <c r="R50" s="54">
        <f>R34+R40+R41+R49</f>
        <v>1389.8</v>
      </c>
      <c r="S50" s="54">
        <f>S34+S40+S41+S49</f>
        <v>3199.2200000000003</v>
      </c>
      <c r="T50" s="54">
        <f>T34+T40+T41+T49</f>
        <v>85.54</v>
      </c>
      <c r="U50" s="54">
        <f>U34+U40+U41+U49</f>
        <v>987.63</v>
      </c>
      <c r="V50" s="54">
        <f>V34+V40+V41+V49</f>
        <v>1091.9499999999998</v>
      </c>
      <c r="W50" s="54">
        <f>W34+W40+W41+W49</f>
        <v>156.96</v>
      </c>
      <c r="X50" s="54">
        <f>X34+X40+X41+X49</f>
        <v>2291.67</v>
      </c>
      <c r="Y50" s="54">
        <f>Y34+Y40+Y41+Y49</f>
        <v>1439.5300000000002</v>
      </c>
      <c r="Z50" s="54">
        <f>Z34+Z40+Z41+Z49</f>
        <v>4145.91</v>
      </c>
      <c r="AA50" s="54">
        <f>AA34+AA40+AA41+AA49</f>
        <v>1431.6100000000001</v>
      </c>
      <c r="AB50" s="54">
        <f>AB34+AB40+AB41+AB49</f>
        <v>2794.45</v>
      </c>
      <c r="AC50" s="54">
        <f>AC34+AC40+AC41+AC49</f>
        <v>5385.68</v>
      </c>
      <c r="AD50" s="54">
        <f>AD34+AD40+AD41+AD49</f>
        <v>728.76</v>
      </c>
      <c r="AE50" s="54">
        <f>AE34+AE40+AE41+AE49</f>
        <v>4058.13</v>
      </c>
      <c r="AF50" s="54">
        <f>AF34+AF40+AF41+AF49</f>
        <v>1134.43</v>
      </c>
      <c r="AG50" s="54">
        <f>AG34+AG40+AG41+AG49</f>
        <v>305.82</v>
      </c>
      <c r="AH50" s="54">
        <f>AH34+AH40+AH41+AH49</f>
        <v>3301.26</v>
      </c>
      <c r="AI50" s="54">
        <f>AI34+AI40+AI41+AI49</f>
        <v>2793.69</v>
      </c>
      <c r="AJ50" s="54">
        <f>AJ34+AJ40+AJ41+AJ49</f>
        <v>183.46</v>
      </c>
      <c r="AK50" s="55">
        <f>AK34+AK40+AK41+AK49</f>
        <v>0.0</v>
      </c>
      <c r="AL50" s="55">
        <f>B50+C50+D50+E50+F50+G50+H50+I50+J50+K50+L50+M50+N50+O50+P50+Q50+R50+S50+T50+U50+V50+W50+X50+Y50+Z50+AA50+AB50+AC50+AD50+AE50+AF50+AG50+AH50+AI50+AJ50+AK50</f>
        <v>57364.71</v>
      </c>
    </row>
    <row r="51" spans="1:38" ht="16">
      <c r="A51" s="41" t="s">
        <v>48</v>
      </c>
      <c r="B51" s="53">
        <v>177.0</v>
      </c>
      <c r="C51" s="53">
        <v>628.0</v>
      </c>
      <c r="D51" s="53">
        <v>760.0</v>
      </c>
      <c r="E51" s="53">
        <v>500.0</v>
      </c>
      <c r="F51" s="53">
        <v>779.0</v>
      </c>
      <c r="G51" s="53">
        <v>780.0</v>
      </c>
      <c r="H51" s="53">
        <v>484.0</v>
      </c>
      <c r="I51" s="53">
        <v>547.0</v>
      </c>
      <c r="J51" s="53">
        <v>556.0</v>
      </c>
      <c r="K51" s="53">
        <v>739.0</v>
      </c>
      <c r="L51" s="53">
        <v>590.0</v>
      </c>
      <c r="M51" s="53">
        <v>305.0</v>
      </c>
      <c r="N51" s="53">
        <v>563.0</v>
      </c>
      <c r="O51" s="53">
        <v>495.0</v>
      </c>
      <c r="P51" s="53">
        <v>277.0</v>
      </c>
      <c r="Q51" s="53">
        <v>725.32</v>
      </c>
      <c r="R51" s="53">
        <v>640.0</v>
      </c>
      <c r="S51" s="53">
        <v>502.0</v>
      </c>
      <c r="T51" s="53">
        <v>760.0</v>
      </c>
      <c r="U51" s="53">
        <v>388.0</v>
      </c>
      <c r="V51" s="53">
        <v>427.0</v>
      </c>
      <c r="W51" s="53">
        <v>590.0</v>
      </c>
      <c r="X51" s="53">
        <v>296.0</v>
      </c>
      <c r="Y51" s="53">
        <v>786.0</v>
      </c>
      <c r="Z51" s="53">
        <v>761.0</v>
      </c>
      <c r="AA51" s="53">
        <v>908.0</v>
      </c>
      <c r="AB51" s="53">
        <v>435.0</v>
      </c>
      <c r="AC51" s="53">
        <v>842.0</v>
      </c>
      <c r="AD51" s="53">
        <v>588.0</v>
      </c>
      <c r="AE51" s="53">
        <v>243.0</v>
      </c>
      <c r="AF51" s="53">
        <v>1864.0</v>
      </c>
      <c r="AG51" s="53">
        <v>645.0</v>
      </c>
      <c r="AH51" s="53">
        <v>434.0</v>
      </c>
      <c r="AI51" s="53">
        <v>462.0</v>
      </c>
      <c r="AJ51" s="53">
        <v>1005.0</v>
      </c>
      <c r="AK51" s="52"/>
      <c r="AL51" s="53">
        <f>B51+C51+D51+E51+F51+G51+H51+I51+J51+K51+L51+M51+N51+O51+P51+Q51+R51+S51+T51+U51+V51+W51+X51+Y51+Z51+AA51+AB51+AC51+AD51+AE51+AF51+AG51+AH51+AI51+AJ51+AK51</f>
        <v>21481.32</v>
      </c>
    </row>
    <row r="52" spans="1:38" ht="16">
      <c r="A52" s="41" t="s">
        <v>49</v>
      </c>
      <c r="B52" s="52"/>
      <c r="C52" s="52"/>
      <c r="D52" s="53">
        <v>492.63</v>
      </c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3">
        <f>B52+C52+D52+E52+F52+G52+H52+I52+J52+K52+L52+M52+N52+O52+P52+Q52+R52+S52+T52+U52+V52+W52+X52+Y52+Z52+AA52+AB52+AC52+AD52+AE52+AF52+AG52+AH52+AI52+AJ52+AK52</f>
        <v>492.63</v>
      </c>
    </row>
    <row r="53" spans="1:38" ht="16">
      <c r="A53" s="41" t="s">
        <v>50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</row>
    <row r="54" spans="1:38" ht="16">
      <c r="A54" s="42" t="s">
        <v>51</v>
      </c>
      <c r="B54" s="52"/>
      <c r="C54" s="52"/>
      <c r="D54" s="53">
        <v>24477.87</v>
      </c>
      <c r="E54" s="52"/>
      <c r="F54" s="53">
        <v>23511.51</v>
      </c>
      <c r="G54" s="52"/>
      <c r="H54" s="53">
        <v>19938.77</v>
      </c>
      <c r="I54" s="52"/>
      <c r="J54" s="53">
        <v>20133.23</v>
      </c>
      <c r="K54" s="53">
        <v>125.0</v>
      </c>
      <c r="L54" s="53">
        <v>23948.93</v>
      </c>
      <c r="M54" s="53">
        <v>2533.64</v>
      </c>
      <c r="N54" s="53">
        <v>18383.3</v>
      </c>
      <c r="O54" s="52"/>
      <c r="P54" s="53">
        <v>18444.57</v>
      </c>
      <c r="Q54" s="52"/>
      <c r="R54" s="53">
        <v>17410.73</v>
      </c>
      <c r="S54" s="52"/>
      <c r="T54" s="53">
        <v>20405.25</v>
      </c>
      <c r="U54" s="52"/>
      <c r="V54" s="53">
        <v>16058.52</v>
      </c>
      <c r="W54" s="52"/>
      <c r="X54" s="53">
        <v>23811.01</v>
      </c>
      <c r="Y54" s="52"/>
      <c r="Z54" s="53">
        <v>22043.62</v>
      </c>
      <c r="AA54" s="53">
        <v>1600.0</v>
      </c>
      <c r="AB54" s="53">
        <v>23985.09</v>
      </c>
      <c r="AC54" s="52"/>
      <c r="AD54" s="53">
        <v>30407.47</v>
      </c>
      <c r="AE54" s="52"/>
      <c r="AF54" s="53">
        <v>23317.8</v>
      </c>
      <c r="AG54" s="52"/>
      <c r="AH54" s="53">
        <v>25023.57</v>
      </c>
      <c r="AI54" s="52"/>
      <c r="AJ54" s="53">
        <v>32083.84</v>
      </c>
      <c r="AK54" s="52"/>
      <c r="AL54" s="53">
        <f>B54+C54+D54+E54+F54+G54+H54+I54+J54+K54+L54+M54+N54+O54+P54+Q54+R54+S54+T54+U54+V54+W54+X54+Y54+Z54+AA54+AB54+AC54+AD54+AE54+AF54+AG54+AH54+AI54+AJ54+AK54</f>
        <v>387643.72000000003</v>
      </c>
    </row>
    <row r="55" spans="1:38" ht="16">
      <c r="A55" s="42" t="s">
        <v>52</v>
      </c>
      <c r="B55" s="52"/>
      <c r="C55" s="52"/>
      <c r="D55" s="53">
        <v>1972.38</v>
      </c>
      <c r="E55" s="52"/>
      <c r="F55" s="53">
        <v>1933.44</v>
      </c>
      <c r="G55" s="52"/>
      <c r="H55" s="53">
        <v>1681.84</v>
      </c>
      <c r="I55" s="52"/>
      <c r="J55" s="53">
        <v>1635.43</v>
      </c>
      <c r="K55" s="53">
        <v>10.75</v>
      </c>
      <c r="L55" s="53">
        <v>1924.09</v>
      </c>
      <c r="M55" s="52"/>
      <c r="N55" s="53">
        <v>1446.92</v>
      </c>
      <c r="O55" s="53">
        <v>-25.44</v>
      </c>
      <c r="P55" s="53">
        <v>1438.97</v>
      </c>
      <c r="Q55" s="52"/>
      <c r="R55" s="53">
        <v>879.28</v>
      </c>
      <c r="S55" s="53">
        <v>-16.34</v>
      </c>
      <c r="T55" s="53">
        <v>1594.75</v>
      </c>
      <c r="U55" s="52"/>
      <c r="V55" s="53">
        <v>1298.58</v>
      </c>
      <c r="W55" s="53">
        <v>-23.47</v>
      </c>
      <c r="X55" s="53">
        <v>1960.54</v>
      </c>
      <c r="Y55" s="52"/>
      <c r="Z55" s="53">
        <v>1765.61</v>
      </c>
      <c r="AA55" s="53">
        <v>126.97</v>
      </c>
      <c r="AB55" s="53">
        <v>1926.43</v>
      </c>
      <c r="AC55" s="52"/>
      <c r="AD55" s="53">
        <v>2424.72</v>
      </c>
      <c r="AE55" s="52"/>
      <c r="AF55" s="53">
        <v>1820.32</v>
      </c>
      <c r="AG55" s="53">
        <v>-53.62</v>
      </c>
      <c r="AH55" s="53">
        <v>1979.06</v>
      </c>
      <c r="AI55" s="52"/>
      <c r="AJ55" s="53">
        <v>2561.1</v>
      </c>
      <c r="AK55" s="53">
        <v>-15.55</v>
      </c>
      <c r="AL55" s="53">
        <f>B55+C55+D55+E55+F55+G55+H55+I55+J55+K55+L55+M55+N55+O55+P55+Q55+R55+S55+T55+U55+V55+W55+X55+Y55+Z55+AA55+AB55+AC55+AD55+AE55+AF55+AG55+AH55+AI55+AJ55+AK55</f>
        <v>30246.760000000006</v>
      </c>
    </row>
    <row r="56" spans="1:38" ht="16">
      <c r="A56" s="42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3">
        <v>1903.52</v>
      </c>
      <c r="L56" s="52"/>
      <c r="M56" s="52"/>
      <c r="N56" s="52"/>
      <c r="O56" s="52"/>
      <c r="P56" s="52"/>
      <c r="Q56" s="52"/>
      <c r="R56" s="53">
        <v>1488.36</v>
      </c>
      <c r="S56" s="52"/>
      <c r="T56" s="53">
        <v>270.0</v>
      </c>
      <c r="U56" s="52"/>
      <c r="V56" s="52"/>
      <c r="W56" s="52"/>
      <c r="X56" s="52"/>
      <c r="Y56" s="52"/>
      <c r="Z56" s="52"/>
      <c r="AA56" s="52"/>
      <c r="AB56" s="52"/>
      <c r="AC56" s="53">
        <v>1000.0</v>
      </c>
      <c r="AD56" s="53">
        <v>3325.0</v>
      </c>
      <c r="AE56" s="53">
        <v>150.0</v>
      </c>
      <c r="AF56" s="52"/>
      <c r="AG56" s="52"/>
      <c r="AH56" s="52"/>
      <c r="AI56" s="52"/>
      <c r="AJ56" s="52"/>
      <c r="AK56" s="52"/>
      <c r="AL56" s="53">
        <f>B56+C56+D56+E56+F56+G56+H56+I56+J56+K56+L56+M56+N56+O56+P56+Q56+R56+S56+T56+U56+V56+W56+X56+Y56+Z56+AA56+AB56+AC56+AD56+AE56+AF56+AG56+AH56+AI56+AJ56+AK56</f>
        <v>8136.88</v>
      </c>
    </row>
    <row r="57" spans="1:38" ht="16">
      <c r="A57" s="47" t="s">
        <v>54</v>
      </c>
      <c r="B57" s="55">
        <f>B53+B54+B55+B56</f>
        <v>0.0</v>
      </c>
      <c r="C57" s="55">
        <f>C53+C54+C55+C56</f>
        <v>0.0</v>
      </c>
      <c r="D57" s="54">
        <f>D53+D54+D55+D56</f>
        <v>26450.25</v>
      </c>
      <c r="E57" s="55">
        <f>E53+E54+E55+E56</f>
        <v>0.0</v>
      </c>
      <c r="F57" s="54">
        <f>F53+F54+F55+F56</f>
        <v>25444.949999999997</v>
      </c>
      <c r="G57" s="55">
        <f>G53+G54+G55+G56</f>
        <v>0.0</v>
      </c>
      <c r="H57" s="54">
        <f>H53+H54+H55+H56</f>
        <v>21620.61</v>
      </c>
      <c r="I57" s="55">
        <f>I53+I54+I55+I56</f>
        <v>0.0</v>
      </c>
      <c r="J57" s="54">
        <f>J53+J54+J55+J56</f>
        <v>21768.66</v>
      </c>
      <c r="K57" s="54">
        <f>K53+K54+K55+K56</f>
        <v>2039.27</v>
      </c>
      <c r="L57" s="54">
        <f>L53+L54+L55+L56</f>
        <v>25873.02</v>
      </c>
      <c r="M57" s="54">
        <f>M53+M54+M55+M56</f>
        <v>2533.64</v>
      </c>
      <c r="N57" s="54">
        <f>N53+N54+N55+N56</f>
        <v>19830.22</v>
      </c>
      <c r="O57" s="54">
        <f>O53+O54+O55+O56</f>
        <v>-25.44</v>
      </c>
      <c r="P57" s="54">
        <f>P53+P54+P55+P56</f>
        <v>19883.54</v>
      </c>
      <c r="Q57" s="55">
        <f>Q53+Q54+Q55+Q56</f>
        <v>0.0</v>
      </c>
      <c r="R57" s="54">
        <f>R53+R54+R55+R56</f>
        <v>19778.37</v>
      </c>
      <c r="S57" s="54">
        <f>S53+S54+S55+S56</f>
        <v>-16.34</v>
      </c>
      <c r="T57" s="54">
        <f>T53+T54+T55+T56</f>
        <v>22270.0</v>
      </c>
      <c r="U57" s="55">
        <f>U53+U54+U55+U56</f>
        <v>0.0</v>
      </c>
      <c r="V57" s="54">
        <f>V53+V54+V55+V56</f>
        <v>17357.1</v>
      </c>
      <c r="W57" s="54">
        <f>W53+W54+W55+W56</f>
        <v>-23.47</v>
      </c>
      <c r="X57" s="54">
        <f>X53+X54+X55+X56</f>
        <v>25771.55</v>
      </c>
      <c r="Y57" s="55">
        <f>Y53+Y54+Y55+Y56</f>
        <v>0.0</v>
      </c>
      <c r="Z57" s="54">
        <f>Z53+Z54+Z55+Z56</f>
        <v>23809.23</v>
      </c>
      <c r="AA57" s="54">
        <f>AA53+AA54+AA55+AA56</f>
        <v>1726.97</v>
      </c>
      <c r="AB57" s="54">
        <f>AB53+AB54+AB55+AB56</f>
        <v>25911.52</v>
      </c>
      <c r="AC57" s="54">
        <f>AC53+AC54+AC55+AC56</f>
        <v>1000.0</v>
      </c>
      <c r="AD57" s="54">
        <f>AD53+AD54+AD55+AD56</f>
        <v>36157.19</v>
      </c>
      <c r="AE57" s="54">
        <f>AE53+AE54+AE55+AE56</f>
        <v>150.0</v>
      </c>
      <c r="AF57" s="54">
        <f>AF53+AF54+AF55+AF56</f>
        <v>25138.12</v>
      </c>
      <c r="AG57" s="54">
        <f>AG53+AG54+AG55+AG56</f>
        <v>-53.62</v>
      </c>
      <c r="AH57" s="54">
        <f>AH53+AH54+AH55+AH56</f>
        <v>27002.63</v>
      </c>
      <c r="AI57" s="55">
        <f>AI53+AI54+AI55+AI56</f>
        <v>0.0</v>
      </c>
      <c r="AJ57" s="54">
        <f>AJ53+AJ54+AJ55+AJ56</f>
        <v>34644.94</v>
      </c>
      <c r="AK57" s="54">
        <f>AK53+AK54+AK55+AK56</f>
        <v>-15.55</v>
      </c>
      <c r="AL57" s="55">
        <f>B57+C57+D57+E57+F57+G57+H57+I57+J57+K57+L57+M57+N57+O57+P57+Q57+R57+S57+T57+U57+V57+W57+X57+Y57+Z57+AA57+AB57+AC57+AD57+AE57+AF57+AG57+AH57+AI57+AJ57+AK57</f>
        <v>426027.36</v>
      </c>
    </row>
    <row r="58" spans="1:38" ht="16">
      <c r="A58" s="41" t="s">
        <v>55</v>
      </c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</row>
    <row r="59" spans="1:38" ht="16">
      <c r="A59" s="42" t="s">
        <v>56</v>
      </c>
      <c r="B59" s="53">
        <v>225.21</v>
      </c>
      <c r="C59" s="53">
        <v>501.37</v>
      </c>
      <c r="D59" s="53">
        <v>733.82</v>
      </c>
      <c r="E59" s="53">
        <v>777.57</v>
      </c>
      <c r="F59" s="53">
        <v>963.61</v>
      </c>
      <c r="G59" s="53">
        <v>732.27</v>
      </c>
      <c r="H59" s="53">
        <v>1046.97</v>
      </c>
      <c r="I59" s="53">
        <v>752.92</v>
      </c>
      <c r="J59" s="53">
        <v>876.44</v>
      </c>
      <c r="K59" s="53">
        <v>947.91</v>
      </c>
      <c r="L59" s="53">
        <v>1052.43</v>
      </c>
      <c r="M59" s="53">
        <v>796.56</v>
      </c>
      <c r="N59" s="53">
        <v>921.93</v>
      </c>
      <c r="O59" s="53">
        <v>802.83</v>
      </c>
      <c r="P59" s="53">
        <v>1139.22</v>
      </c>
      <c r="Q59" s="53">
        <v>962.56</v>
      </c>
      <c r="R59" s="53">
        <v>955.8</v>
      </c>
      <c r="S59" s="53">
        <v>1496.71</v>
      </c>
      <c r="T59" s="53">
        <v>1112.99</v>
      </c>
      <c r="U59" s="53">
        <v>1298.91</v>
      </c>
      <c r="V59" s="53">
        <v>1275.57</v>
      </c>
      <c r="W59" s="53">
        <v>1107.36</v>
      </c>
      <c r="X59" s="53">
        <v>804.59</v>
      </c>
      <c r="Y59" s="53">
        <v>1262.36</v>
      </c>
      <c r="Z59" s="53">
        <v>1016.35</v>
      </c>
      <c r="AA59" s="53">
        <v>1139.08</v>
      </c>
      <c r="AB59" s="53">
        <v>870.78</v>
      </c>
      <c r="AC59" s="53">
        <v>2068.76</v>
      </c>
      <c r="AD59" s="53">
        <v>1321.85</v>
      </c>
      <c r="AE59" s="53">
        <v>860.64</v>
      </c>
      <c r="AF59" s="53">
        <v>799.04</v>
      </c>
      <c r="AG59" s="53">
        <v>1223.37</v>
      </c>
      <c r="AH59" s="53">
        <v>500.03</v>
      </c>
      <c r="AI59" s="53">
        <v>1373.33</v>
      </c>
      <c r="AJ59" s="53">
        <v>982.71</v>
      </c>
      <c r="AK59" s="53">
        <v>316.29</v>
      </c>
      <c r="AL59" s="53">
        <f>B59+C59+D59+E59+F59+G59+H59+I59+J59+K59+L59+M59+N59+O59+P59+Q59+R59+S59+T59+U59+V59+W59+X59+Y59+Z59+AA59+AB59+AC59+AD59+AE59+AF59+AG59+AH59+AI59+AJ59+AK59</f>
        <v>35020.13999999999</v>
      </c>
    </row>
    <row r="60" spans="1:38" ht="16">
      <c r="A60" s="42" t="s">
        <v>57</v>
      </c>
      <c r="B60" s="52"/>
      <c r="C60" s="53">
        <v>16.07</v>
      </c>
      <c r="D60" s="53">
        <v>76.37</v>
      </c>
      <c r="E60" s="52"/>
      <c r="F60" s="53">
        <v>13.2</v>
      </c>
      <c r="G60" s="53">
        <v>97.87</v>
      </c>
      <c r="H60" s="53">
        <v>98.17</v>
      </c>
      <c r="I60" s="53">
        <v>107.69</v>
      </c>
      <c r="J60" s="53">
        <v>190.53</v>
      </c>
      <c r="K60" s="53">
        <v>172.43</v>
      </c>
      <c r="L60" s="53">
        <v>19.84</v>
      </c>
      <c r="M60" s="53">
        <v>29.31</v>
      </c>
      <c r="N60" s="53">
        <v>99.79</v>
      </c>
      <c r="O60" s="53">
        <v>49.0</v>
      </c>
      <c r="P60" s="53">
        <v>57.41</v>
      </c>
      <c r="Q60" s="53">
        <v>20.21</v>
      </c>
      <c r="R60" s="53">
        <v>167.21</v>
      </c>
      <c r="S60" s="53">
        <v>263.99</v>
      </c>
      <c r="T60" s="53">
        <v>49.0</v>
      </c>
      <c r="U60" s="53">
        <v>14.61</v>
      </c>
      <c r="V60" s="53">
        <v>51.93</v>
      </c>
      <c r="W60" s="52"/>
      <c r="X60" s="53">
        <v>32.93</v>
      </c>
      <c r="Y60" s="53">
        <v>32.26</v>
      </c>
      <c r="Z60" s="53">
        <v>8.67</v>
      </c>
      <c r="AA60" s="53">
        <v>69.28</v>
      </c>
      <c r="AB60" s="53">
        <v>16.96</v>
      </c>
      <c r="AC60" s="53">
        <v>344.52</v>
      </c>
      <c r="AD60" s="53">
        <v>73.11</v>
      </c>
      <c r="AE60" s="53">
        <v>34.41</v>
      </c>
      <c r="AF60" s="53">
        <v>535.32</v>
      </c>
      <c r="AG60" s="53">
        <v>214.97</v>
      </c>
      <c r="AH60" s="52"/>
      <c r="AI60" s="53">
        <v>24.52</v>
      </c>
      <c r="AJ60" s="52"/>
      <c r="AK60" s="52"/>
      <c r="AL60" s="53">
        <f>B60+C60+D60+E60+F60+G60+H60+I60+J60+K60+L60+M60+N60+O60+P60+Q60+R60+S60+T60+U60+V60+W60+X60+Y60+Z60+AA60+AB60+AC60+AD60+AE60+AF60+AG60+AH60+AI60+AJ60+AK60</f>
        <v>2981.58</v>
      </c>
    </row>
    <row r="61" spans="1:38" ht="16">
      <c r="A61" s="42" t="s">
        <v>58</v>
      </c>
      <c r="B61" s="52"/>
      <c r="C61" s="53">
        <v>23.54</v>
      </c>
      <c r="D61" s="52"/>
      <c r="E61" s="52"/>
      <c r="F61" s="52"/>
      <c r="G61" s="52"/>
      <c r="H61" s="53">
        <v>94.92</v>
      </c>
      <c r="I61" s="52"/>
      <c r="J61" s="52"/>
      <c r="K61" s="52"/>
      <c r="L61" s="53">
        <v>12.24</v>
      </c>
      <c r="M61" s="52"/>
      <c r="N61" s="52"/>
      <c r="O61" s="52"/>
      <c r="P61" s="53">
        <v>19.26</v>
      </c>
      <c r="Q61" s="52"/>
      <c r="R61" s="52"/>
      <c r="S61" s="52"/>
      <c r="T61" s="52"/>
      <c r="U61" s="53">
        <v>8.79</v>
      </c>
      <c r="V61" s="52"/>
      <c r="W61" s="52"/>
      <c r="X61" s="52"/>
      <c r="Y61" s="53">
        <v>5.24</v>
      </c>
      <c r="Z61" s="52"/>
      <c r="AA61" s="52"/>
      <c r="AB61" s="52"/>
      <c r="AC61" s="53">
        <v>30.5</v>
      </c>
      <c r="AD61" s="52"/>
      <c r="AE61" s="52"/>
      <c r="AF61" s="52"/>
      <c r="AG61" s="52"/>
      <c r="AH61" s="53">
        <v>11.24</v>
      </c>
      <c r="AI61" s="52"/>
      <c r="AJ61" s="52"/>
      <c r="AK61" s="52"/>
      <c r="AL61" s="53">
        <f>B61+C61+D61+E61+F61+G61+H61+I61+J61+K61+L61+M61+N61+O61+P61+Q61+R61+S61+T61+U61+V61+W61+X61+Y61+Z61+AA61+AB61+AC61+AD61+AE61+AF61+AG61+AH61+AI61+AJ61+AK61</f>
        <v>205.73000000000002</v>
      </c>
    </row>
    <row r="62" spans="1:38" ht="16">
      <c r="A62" s="47" t="s">
        <v>59</v>
      </c>
      <c r="B62" s="54">
        <f>B58+B59+B60+B61</f>
        <v>225.21</v>
      </c>
      <c r="C62" s="54">
        <f>C58+C59+C60+C61</f>
        <v>540.98</v>
      </c>
      <c r="D62" s="54">
        <f>D58+D59+D60+D61</f>
        <v>810.19</v>
      </c>
      <c r="E62" s="54">
        <f>E58+E59+E60+E61</f>
        <v>777.57</v>
      </c>
      <c r="F62" s="54">
        <f>F58+F59+F60+F61</f>
        <v>976.8100000000001</v>
      </c>
      <c r="G62" s="54">
        <f>G58+G59+G60+G61</f>
        <v>830.14</v>
      </c>
      <c r="H62" s="54">
        <f>H58+H59+H60+H61</f>
        <v>1240.0600000000002</v>
      </c>
      <c r="I62" s="54">
        <f>I58+I59+I60+I61</f>
        <v>860.6099999999999</v>
      </c>
      <c r="J62" s="54">
        <f>J58+J59+J60+J61</f>
        <v>1066.97</v>
      </c>
      <c r="K62" s="54">
        <f>K58+K59+K60+K61</f>
        <v>1120.34</v>
      </c>
      <c r="L62" s="54">
        <f>L58+L59+L60+L61</f>
        <v>1084.51</v>
      </c>
      <c r="M62" s="54">
        <f>M58+M59+M60+M61</f>
        <v>825.8699999999999</v>
      </c>
      <c r="N62" s="54">
        <f>N58+N59+N60+N61</f>
        <v>1021.7199999999999</v>
      </c>
      <c r="O62" s="54">
        <f>O58+O59+O60+O61</f>
        <v>851.83</v>
      </c>
      <c r="P62" s="54">
        <f>P58+P59+P60+P61</f>
        <v>1215.89</v>
      </c>
      <c r="Q62" s="54">
        <f>Q58+Q59+Q60+Q61</f>
        <v>982.77</v>
      </c>
      <c r="R62" s="54">
        <f>R58+R59+R60+R61</f>
        <v>1123.01</v>
      </c>
      <c r="S62" s="54">
        <f>S58+S59+S60+S61</f>
        <v>1760.7</v>
      </c>
      <c r="T62" s="54">
        <f>T58+T59+T60+T61</f>
        <v>1161.99</v>
      </c>
      <c r="U62" s="54">
        <f>U58+U59+U60+U61</f>
        <v>1322.31</v>
      </c>
      <c r="V62" s="54">
        <f>V58+V59+V60+V61</f>
        <v>1327.5</v>
      </c>
      <c r="W62" s="54">
        <f>W58+W59+W60+W61</f>
        <v>1107.36</v>
      </c>
      <c r="X62" s="54">
        <f>X58+X59+X60+X61</f>
        <v>837.52</v>
      </c>
      <c r="Y62" s="54">
        <f>Y58+Y59+Y60+Y61</f>
        <v>1299.86</v>
      </c>
      <c r="Z62" s="54">
        <f>Z58+Z59+Z60+Z61</f>
        <v>1025.02</v>
      </c>
      <c r="AA62" s="54">
        <f>AA58+AA59+AA60+AA61</f>
        <v>1208.36</v>
      </c>
      <c r="AB62" s="54">
        <f>AB58+AB59+AB60+AB61</f>
        <v>887.74</v>
      </c>
      <c r="AC62" s="54">
        <f>AC58+AC59+AC60+AC61</f>
        <v>2443.78</v>
      </c>
      <c r="AD62" s="54">
        <f>AD58+AD59+AD60+AD61</f>
        <v>1394.9599999999998</v>
      </c>
      <c r="AE62" s="54">
        <f>AE58+AE59+AE60+AE61</f>
        <v>895.05</v>
      </c>
      <c r="AF62" s="54">
        <f>AF58+AF59+AF60+AF61</f>
        <v>1334.3600000000001</v>
      </c>
      <c r="AG62" s="54">
        <f>AG58+AG59+AG60+AG61</f>
        <v>1438.34</v>
      </c>
      <c r="AH62" s="54">
        <f>AH58+AH59+AH60+AH61</f>
        <v>511.27</v>
      </c>
      <c r="AI62" s="54">
        <f>AI58+AI59+AI60+AI61</f>
        <v>1397.85</v>
      </c>
      <c r="AJ62" s="54">
        <f>AJ58+AJ59+AJ60+AJ61</f>
        <v>982.71</v>
      </c>
      <c r="AK62" s="54">
        <f>AK58+AK59+AK60+AK61</f>
        <v>316.29</v>
      </c>
      <c r="AL62" s="55">
        <f>B62+C62+D62+E62+F62+G62+H62+I62+J62+K62+L62+M62+N62+O62+P62+Q62+R62+S62+T62+U62+V62+W62+X62+Y62+Z62+AA62+AB62+AC62+AD62+AE62+AF62+AG62+AH62+AI62+AJ62+AK62</f>
        <v>38207.45</v>
      </c>
    </row>
    <row r="63" spans="1:38" ht="16">
      <c r="A63" s="41" t="s">
        <v>60</v>
      </c>
      <c r="B63" s="53">
        <v>136.31</v>
      </c>
      <c r="C63" s="53">
        <v>127.05</v>
      </c>
      <c r="D63" s="53">
        <v>234.61</v>
      </c>
      <c r="E63" s="53">
        <v>233.37</v>
      </c>
      <c r="F63" s="53">
        <v>169.76</v>
      </c>
      <c r="G63" s="53">
        <v>262.9</v>
      </c>
      <c r="H63" s="53">
        <v>218.86</v>
      </c>
      <c r="I63" s="53">
        <v>152.29</v>
      </c>
      <c r="J63" s="53">
        <v>177.11</v>
      </c>
      <c r="K63" s="53">
        <v>125.78</v>
      </c>
      <c r="L63" s="53">
        <v>131.72</v>
      </c>
      <c r="M63" s="53">
        <v>125.73</v>
      </c>
      <c r="N63" s="53">
        <v>200.99</v>
      </c>
      <c r="O63" s="53">
        <v>206.62</v>
      </c>
      <c r="P63" s="53">
        <v>277.76</v>
      </c>
      <c r="Q63" s="53">
        <v>61.44</v>
      </c>
      <c r="R63" s="53">
        <v>197.98</v>
      </c>
      <c r="S63" s="53">
        <v>209.35</v>
      </c>
      <c r="T63" s="53">
        <v>83.77</v>
      </c>
      <c r="U63" s="53">
        <v>174.92</v>
      </c>
      <c r="V63" s="53">
        <v>237.76</v>
      </c>
      <c r="W63" s="53">
        <v>201.47</v>
      </c>
      <c r="X63" s="53">
        <v>148.37</v>
      </c>
      <c r="Y63" s="53">
        <v>192.01</v>
      </c>
      <c r="Z63" s="53">
        <v>411.49</v>
      </c>
      <c r="AA63" s="53">
        <v>213.36</v>
      </c>
      <c r="AB63" s="53">
        <v>394.6</v>
      </c>
      <c r="AC63" s="53">
        <v>234.84</v>
      </c>
      <c r="AD63" s="53">
        <v>225.83</v>
      </c>
      <c r="AE63" s="53">
        <v>198.9</v>
      </c>
      <c r="AF63" s="53">
        <v>143.98</v>
      </c>
      <c r="AG63" s="53">
        <v>226.06</v>
      </c>
      <c r="AH63" s="53">
        <v>140.79</v>
      </c>
      <c r="AI63" s="53">
        <v>615.69</v>
      </c>
      <c r="AJ63" s="53">
        <v>191.97</v>
      </c>
      <c r="AK63" s="52"/>
      <c r="AL63" s="53">
        <f>B63+C63+D63+E63+F63+G63+H63+I63+J63+K63+L63+M63+N63+O63+P63+Q63+R63+S63+T63+U63+V63+W63+X63+Y63+Z63+AA63+AB63+AC63+AD63+AE63+AF63+AG63+AH63+AI63+AJ63+AK63</f>
        <v>7285.44</v>
      </c>
    </row>
    <row r="64" spans="1:38" ht="16">
      <c r="A64" s="41" t="s">
        <v>61</v>
      </c>
      <c r="B64" s="52"/>
      <c r="C64" s="53">
        <v>3504.06</v>
      </c>
      <c r="D64" s="53">
        <v>2283.3</v>
      </c>
      <c r="E64" s="53">
        <v>1573.74</v>
      </c>
      <c r="F64" s="53">
        <v>4413.22</v>
      </c>
      <c r="G64" s="53">
        <v>3002.82</v>
      </c>
      <c r="H64" s="53">
        <v>1683.25</v>
      </c>
      <c r="I64" s="53">
        <v>1693.21</v>
      </c>
      <c r="J64" s="53">
        <v>6149.41</v>
      </c>
      <c r="K64" s="53">
        <v>1982.87</v>
      </c>
      <c r="L64" s="53">
        <v>2598.84</v>
      </c>
      <c r="M64" s="53">
        <v>2949.19</v>
      </c>
      <c r="N64" s="53">
        <v>3017.25</v>
      </c>
      <c r="O64" s="53">
        <v>2576.25</v>
      </c>
      <c r="P64" s="53">
        <v>2047.37</v>
      </c>
      <c r="Q64" s="53">
        <v>3526.3</v>
      </c>
      <c r="R64" s="53">
        <v>3708.18</v>
      </c>
      <c r="S64" s="53">
        <v>1799.99</v>
      </c>
      <c r="T64" s="53">
        <v>1839.1</v>
      </c>
      <c r="U64" s="53">
        <v>2546.54</v>
      </c>
      <c r="V64" s="53">
        <v>2059.98</v>
      </c>
      <c r="W64" s="53">
        <v>3873.53</v>
      </c>
      <c r="X64" s="53">
        <v>2982.9</v>
      </c>
      <c r="Y64" s="53">
        <v>2975.58</v>
      </c>
      <c r="Z64" s="53">
        <v>1440.31</v>
      </c>
      <c r="AA64" s="53">
        <v>2904.04</v>
      </c>
      <c r="AB64" s="53">
        <v>2877.29</v>
      </c>
      <c r="AC64" s="53">
        <v>3863.77</v>
      </c>
      <c r="AD64" s="53">
        <v>3226.34</v>
      </c>
      <c r="AE64" s="53">
        <v>4203.36</v>
      </c>
      <c r="AF64" s="53">
        <v>3343.72</v>
      </c>
      <c r="AG64" s="53">
        <v>2088.85</v>
      </c>
      <c r="AH64" s="53">
        <v>3415.83</v>
      </c>
      <c r="AI64" s="53">
        <v>2275.79</v>
      </c>
      <c r="AJ64" s="53">
        <v>1818.58</v>
      </c>
      <c r="AK64" s="53">
        <v>2911.17</v>
      </c>
      <c r="AL64" s="53">
        <f>B64+C64+D64+E64+F64+G64+H64+I64+J64+K64+L64+M64+N64+O64+P64+Q64+R64+S64+T64+U64+V64+W64+X64+Y64+Z64+AA64+AB64+AC64+AD64+AE64+AF64+AG64+AH64+AI64+AJ64+AK64</f>
        <v>99155.93</v>
      </c>
    </row>
    <row r="65" spans="1:38" ht="16">
      <c r="A65" s="48" t="s">
        <v>62</v>
      </c>
      <c r="B65" s="54">
        <f>B33+B50+B51+B52+B57+B62+B63+B64</f>
        <v>538.52</v>
      </c>
      <c r="C65" s="54">
        <f>C33+C50+C51+C52+C57+C62+C63+C64</f>
        <v>4938.13</v>
      </c>
      <c r="D65" s="54">
        <f>D33+D50+D51+D52+D57+D62+D63+D64</f>
        <v>31149.35</v>
      </c>
      <c r="E65" s="54">
        <f>E33+E50+E51+E52+E57+E62+E63+E64</f>
        <v>3189.75</v>
      </c>
      <c r="F65" s="54">
        <f>F33+F50+F51+F52+F57+F62+F63+F64</f>
        <v>34616.659999999996</v>
      </c>
      <c r="G65" s="54">
        <f>G33+G50+G51+G52+G57+G62+G63+G64</f>
        <v>5160.52</v>
      </c>
      <c r="H65" s="54">
        <f>H33+H50+H51+H52+H57+H62+H63+H64</f>
        <v>25528.530000000002</v>
      </c>
      <c r="I65" s="54">
        <f>I33+I50+I51+I52+I57+I62+I63+I64</f>
        <v>6589.2</v>
      </c>
      <c r="J65" s="54">
        <f>J33+J50+J51+J52+J57+J62+J63+J64</f>
        <v>30912.83</v>
      </c>
      <c r="K65" s="54">
        <f>K33+K50+K51+K52+K57+K62+K63+K64</f>
        <v>8584.58</v>
      </c>
      <c r="L65" s="54">
        <f>L33+L50+L51+L52+L57+L62+L63+L64</f>
        <v>33923.69</v>
      </c>
      <c r="M65" s="54">
        <f>M33+M50+M51+M52+M57+M62+M63+M64</f>
        <v>7336.27</v>
      </c>
      <c r="N65" s="54">
        <f>N33+N50+N51+N52+N57+N62+N63+N64</f>
        <v>24983.160000000003</v>
      </c>
      <c r="O65" s="54">
        <f>O33+O50+O51+O52+O57+O62+O63+O64</f>
        <v>4181.49</v>
      </c>
      <c r="P65" s="54">
        <f>P33+P50+P51+P52+P57+P62+P63+P64</f>
        <v>26396.96</v>
      </c>
      <c r="Q65" s="54">
        <f>Q33+Q50+Q51+Q52+Q57+Q62+Q63+Q64</f>
        <v>7521.09</v>
      </c>
      <c r="R65" s="54">
        <f>R33+R50+R51+R52+R57+R62+R63+R64</f>
        <v>26837.339999999997</v>
      </c>
      <c r="S65" s="54">
        <f>S33+S50+S51+S52+S57+S62+S63+S64</f>
        <v>7454.92</v>
      </c>
      <c r="T65" s="54">
        <f>T33+T50+T51+T52+T57+T62+T63+T64</f>
        <v>26200.4</v>
      </c>
      <c r="U65" s="54">
        <f>U33+U50+U51+U52+U57+U62+U63+U64</f>
        <v>5419.4</v>
      </c>
      <c r="V65" s="54">
        <f>V33+V50+V51+V52+V57+V62+V63+V64</f>
        <v>22501.289999999997</v>
      </c>
      <c r="W65" s="54">
        <f>W33+W50+W51+W52+W57+W62+W63+W64</f>
        <v>5905.85</v>
      </c>
      <c r="X65" s="54">
        <f>X33+X50+X51+X52+X57+X62+X63+X64</f>
        <v>32328.010000000002</v>
      </c>
      <c r="Y65" s="54">
        <f>Y33+Y50+Y51+Y52+Y57+Y62+Y63+Y64</f>
        <v>6692.9800000000005</v>
      </c>
      <c r="Z65" s="54">
        <f>Z33+Z50+Z51+Z52+Z57+Z62+Z63+Z64</f>
        <v>31592.960000000003</v>
      </c>
      <c r="AA65" s="54">
        <f>AA33+AA50+AA51+AA52+AA57+AA62+AA63+AA64</f>
        <v>8392.34</v>
      </c>
      <c r="AB65" s="54">
        <f>AB33+AB50+AB51+AB52+AB57+AB62+AB63+AB64</f>
        <v>33300.6</v>
      </c>
      <c r="AC65" s="54">
        <f>AC33+AC50+AC51+AC52+AC57+AC62+AC63+AC64</f>
        <v>13770.070000000002</v>
      </c>
      <c r="AD65" s="54">
        <f>AD33+AD50+AD51+AD52+AD57+AD62+AD63+AD64</f>
        <v>42321.08</v>
      </c>
      <c r="AE65" s="54">
        <f>AE33+AE50+AE51+AE52+AE57+AE62+AE63+AE64</f>
        <v>9748.439999999999</v>
      </c>
      <c r="AF65" s="54">
        <f>AF33+AF50+AF51+AF52+AF57+AF62+AF63+AF64</f>
        <v>32958.61</v>
      </c>
      <c r="AG65" s="54">
        <f>AG33+AG50+AG51+AG52+AG57+AG62+AG63+AG64</f>
        <v>4650.45</v>
      </c>
      <c r="AH65" s="54">
        <f>AH33+AH50+AH51+AH52+AH57+AH62+AH63+AH64</f>
        <v>34805.78</v>
      </c>
      <c r="AI65" s="54">
        <f>AI33+AI50+AI51+AI52+AI57+AI62+AI63+AI64</f>
        <v>7545.0199999999995</v>
      </c>
      <c r="AJ65" s="54">
        <f>AJ33+AJ50+AJ51+AJ52+AJ57+AJ62+AJ63+AJ64</f>
        <v>38826.66</v>
      </c>
      <c r="AK65" s="54">
        <f>AK33+AK50+AK51+AK52+AK57+AK62+AK63+AK64</f>
        <v>3211.91</v>
      </c>
      <c r="AL65" s="55">
        <f>B65+C65+D65+E65+F65+G65+H65+I65+J65+K65+L65+M65+N65+O65+P65+Q65+R65+S65+T65+U65+V65+W65+X65+Y65+Z65+AA65+AB65+AC65+AD65+AE65+AF65+AG65+AH65+AI65+AJ65+AK65</f>
        <v>650014.84</v>
      </c>
    </row>
    <row r="66" spans="1:38" ht="16">
      <c r="A66" s="48" t="s">
        <v>63</v>
      </c>
      <c r="B66" s="54">
        <f>B32-B65</f>
        <v>17127.79</v>
      </c>
      <c r="C66" s="54">
        <f>C32-C65</f>
        <v>10339.16</v>
      </c>
      <c r="D66" s="54">
        <f>D32-D65</f>
        <v>17930.79</v>
      </c>
      <c r="E66" s="54">
        <f>E32-E65</f>
        <v>33368.44</v>
      </c>
      <c r="F66" s="54">
        <f>F32-F65</f>
        <v>-15314.339999999997</v>
      </c>
      <c r="G66" s="54">
        <f>G32-G65</f>
        <v>14235.509999999998</v>
      </c>
      <c r="H66" s="54">
        <f>H32-H65</f>
        <v>35457.84999999999</v>
      </c>
      <c r="I66" s="54">
        <f>I32-I65</f>
        <v>17486.25</v>
      </c>
      <c r="J66" s="54">
        <f>J32-J65</f>
        <v>519.6800000000003</v>
      </c>
      <c r="K66" s="54">
        <f>K32-K65</f>
        <v>23028.96</v>
      </c>
      <c r="L66" s="54">
        <f>L32-L65</f>
        <v>7681.0</v>
      </c>
      <c r="M66" s="54">
        <f>M32-M65</f>
        <v>18155.79</v>
      </c>
      <c r="N66" s="54">
        <f>N32-N65</f>
        <v>-1021.4600000000028</v>
      </c>
      <c r="O66" s="54">
        <f>O32-O65</f>
        <v>44207.450000000004</v>
      </c>
      <c r="P66" s="54">
        <f>P32-P65</f>
        <v>10276.809999999998</v>
      </c>
      <c r="Q66" s="54">
        <f>Q32-Q65</f>
        <v>14841.91</v>
      </c>
      <c r="R66" s="54">
        <f>R32-R65</f>
        <v>-5049.349999999995</v>
      </c>
      <c r="S66" s="54">
        <f>S32-S65</f>
        <v>17509.54</v>
      </c>
      <c r="T66" s="54">
        <f>T32-T65</f>
        <v>-10923.180000000002</v>
      </c>
      <c r="U66" s="54">
        <f>U32-U65</f>
        <v>39046.42</v>
      </c>
      <c r="V66" s="54">
        <f>V32-V65</f>
        <v>-7502.949999999997</v>
      </c>
      <c r="W66" s="54">
        <f>W32-W65</f>
        <v>37180.57000000001</v>
      </c>
      <c r="X66" s="54">
        <f>X32-X65</f>
        <v>-10036.7</v>
      </c>
      <c r="Y66" s="54">
        <f>Y32-Y65</f>
        <v>27361.95</v>
      </c>
      <c r="Z66" s="54">
        <f>Z32-Z65</f>
        <v>1738.2799999999952</v>
      </c>
      <c r="AA66" s="54">
        <f>AA32-AA65</f>
        <v>40367.32000000001</v>
      </c>
      <c r="AB66" s="54">
        <f>AB32-AB65</f>
        <v>6474.9100000000035</v>
      </c>
      <c r="AC66" s="54">
        <f>AC32-AC65</f>
        <v>28608.47</v>
      </c>
      <c r="AD66" s="54">
        <f>AD32-AD65</f>
        <v>-4303.889999999999</v>
      </c>
      <c r="AE66" s="54">
        <f>AE32-AE65</f>
        <v>11995.350000000002</v>
      </c>
      <c r="AF66" s="54">
        <f>AF32-AF65</f>
        <v>7526.129999999997</v>
      </c>
      <c r="AG66" s="54">
        <f>AG32-AG65</f>
        <v>24951.47</v>
      </c>
      <c r="AH66" s="54">
        <f>AH32-AH65</f>
        <v>-19236.98</v>
      </c>
      <c r="AI66" s="54">
        <f>AI32-AI65</f>
        <v>23640.61</v>
      </c>
      <c r="AJ66" s="54">
        <f>AJ32-AJ65</f>
        <v>-9018.580000000002</v>
      </c>
      <c r="AK66" s="54">
        <f>AK32-AK65</f>
        <v>-1706.9099999999999</v>
      </c>
      <c r="AL66" s="55">
        <f>B66+C66+D66+E66+F66+G66+H66+I66+J66+K66+L66+M66+N66+O66+P66+Q66+R66+S66+T66+U66+V66+W66+X66+Y66+Z66+AA66+AB66+AC66+AD66+AE66+AF66+AG66+AH66+AI66+AJ66+AK66</f>
        <v>446944.06999999995</v>
      </c>
    </row>
    <row r="67" spans="1:37" ht="16">
      <c r="A67" s="40" t="s">
        <v>64</v>
      </c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</row>
    <row r="68" spans="1:38" ht="16">
      <c r="A68" s="41" t="s">
        <v>65</v>
      </c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</row>
    <row r="69" spans="1:38" ht="16">
      <c r="A69" s="42" t="s">
        <v>66</v>
      </c>
      <c r="B69" s="52"/>
      <c r="C69" s="52"/>
      <c r="D69" s="52"/>
      <c r="E69" s="53">
        <v>125.0</v>
      </c>
      <c r="F69" s="52"/>
      <c r="G69" s="52"/>
      <c r="H69" s="52"/>
      <c r="I69" s="52"/>
      <c r="J69" s="53">
        <v>125.0</v>
      </c>
      <c r="K69" s="52"/>
      <c r="L69" s="52"/>
      <c r="M69" s="52"/>
      <c r="N69" s="53">
        <v>125.0</v>
      </c>
      <c r="O69" s="52"/>
      <c r="P69" s="52"/>
      <c r="Q69" s="52"/>
      <c r="R69" s="52"/>
      <c r="S69" s="53">
        <v>125.0</v>
      </c>
      <c r="T69" s="52"/>
      <c r="U69" s="52"/>
      <c r="V69" s="52"/>
      <c r="W69" s="53">
        <v>125.0</v>
      </c>
      <c r="X69" s="52"/>
      <c r="Y69" s="52"/>
      <c r="Z69" s="52"/>
      <c r="AA69" s="53">
        <v>125.0</v>
      </c>
      <c r="AB69" s="52"/>
      <c r="AC69" s="52"/>
      <c r="AD69" s="52"/>
      <c r="AE69" s="53">
        <v>125.0</v>
      </c>
      <c r="AF69" s="52"/>
      <c r="AG69" s="52"/>
      <c r="AH69" s="52"/>
      <c r="AI69" s="52"/>
      <c r="AJ69" s="52"/>
      <c r="AK69" s="52"/>
      <c r="AL69" s="53">
        <f>B69+C69+D69+E69+F69+G69+H69+I69+J69+K69+L69+M69+N69+O69+P69+Q69+R69+S69+T69+U69+V69+W69+X69+Y69+Z69+AA69+AB69+AC69+AD69+AE69+AF69+AG69+AH69+AI69+AJ69+AK69</f>
        <v>875.0</v>
      </c>
    </row>
    <row r="70" spans="1:38" ht="16">
      <c r="A70" s="43" t="s">
        <v>67</v>
      </c>
      <c r="B70" s="53">
        <v>461.65</v>
      </c>
      <c r="C70" s="52"/>
      <c r="D70" s="53">
        <v>500.0</v>
      </c>
      <c r="E70" s="52"/>
      <c r="F70" s="53">
        <v>498.6</v>
      </c>
      <c r="G70" s="52"/>
      <c r="H70" s="52"/>
      <c r="I70" s="53">
        <v>524.75</v>
      </c>
      <c r="J70" s="52"/>
      <c r="K70" s="53">
        <v>444.63</v>
      </c>
      <c r="L70" s="52"/>
      <c r="M70" s="53">
        <v>524.75</v>
      </c>
      <c r="N70" s="52"/>
      <c r="O70" s="53">
        <v>466.82</v>
      </c>
      <c r="P70" s="52"/>
      <c r="Q70" s="53">
        <v>524.75</v>
      </c>
      <c r="R70" s="52"/>
      <c r="S70" s="53">
        <v>439.88</v>
      </c>
      <c r="T70" s="53">
        <v>875.0</v>
      </c>
      <c r="U70" s="53">
        <v>1049.75</v>
      </c>
      <c r="V70" s="53">
        <v>525.0</v>
      </c>
      <c r="W70" s="52"/>
      <c r="X70" s="53">
        <v>483.14</v>
      </c>
      <c r="Y70" s="52"/>
      <c r="Z70" s="53">
        <v>500.0</v>
      </c>
      <c r="AA70" s="52"/>
      <c r="AB70" s="53">
        <v>437.91</v>
      </c>
      <c r="AC70" s="52"/>
      <c r="AD70" s="53">
        <v>500.0</v>
      </c>
      <c r="AE70" s="52"/>
      <c r="AF70" s="53">
        <v>456.8</v>
      </c>
      <c r="AG70" s="52"/>
      <c r="AH70" s="52"/>
      <c r="AI70" s="53">
        <v>500.0</v>
      </c>
      <c r="AJ70" s="52"/>
      <c r="AK70" s="52"/>
      <c r="AL70" s="53">
        <f>B70+C70+D70+E70+F70+G70+H70+I70+J70+K70+L70+M70+N70+O70+P70+Q70+R70+S70+T70+U70+V70+W70+X70+Y70+Z70+AA70+AB70+AC70+AD70+AE70+AF70+AG70+AH70+AI70+AJ70+AK70</f>
        <v>9713.43</v>
      </c>
    </row>
    <row r="71" spans="1:38" ht="16">
      <c r="A71" s="43" t="s">
        <v>68</v>
      </c>
      <c r="B71" s="52"/>
      <c r="C71" s="52"/>
      <c r="D71" s="52"/>
      <c r="E71" s="52"/>
      <c r="F71" s="52"/>
      <c r="G71" s="52"/>
      <c r="H71" s="52"/>
      <c r="I71" s="53">
        <v>1002.45</v>
      </c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3">
        <f>B71+C71+D71+E71+F71+G71+H71+I71+J71+K71+L71+M71+N71+O71+P71+Q71+R71+S71+T71+U71+V71+W71+X71+Y71+Z71+AA71+AB71+AC71+AD71+AE71+AF71+AG71+AH71+AI71+AJ71+AK71</f>
        <v>1002.45</v>
      </c>
    </row>
    <row r="72" spans="1:38" ht="16">
      <c r="A72" s="43" t="s">
        <v>69</v>
      </c>
      <c r="B72" s="52"/>
      <c r="C72" s="52"/>
      <c r="D72" s="53">
        <v>1087.4</v>
      </c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3">
        <v>1087.4</v>
      </c>
      <c r="R72" s="53">
        <v>345.2</v>
      </c>
      <c r="S72" s="53">
        <v>95.45</v>
      </c>
      <c r="T72" s="52"/>
      <c r="U72" s="52"/>
      <c r="V72" s="52"/>
      <c r="W72" s="52"/>
      <c r="X72" s="52"/>
      <c r="Y72" s="52"/>
      <c r="Z72" s="52"/>
      <c r="AA72" s="53">
        <v>244.2</v>
      </c>
      <c r="AB72" s="52"/>
      <c r="AC72" s="53">
        <v>175.95</v>
      </c>
      <c r="AD72" s="52"/>
      <c r="AE72" s="52"/>
      <c r="AF72" s="52"/>
      <c r="AG72" s="52"/>
      <c r="AH72" s="52"/>
      <c r="AI72" s="52"/>
      <c r="AJ72" s="52"/>
      <c r="AK72" s="52"/>
      <c r="AL72" s="53">
        <f>B72+C72+D72+E72+F72+G72+H72+I72+J72+K72+L72+M72+N72+O72+P72+Q72+R72+S72+T72+U72+V72+W72+X72+Y72+Z72+AA72+AB72+AC72+AD72+AE72+AF72+AG72+AH72+AI72+AJ72+AK72</f>
        <v>3035.5999999999995</v>
      </c>
    </row>
    <row r="73" spans="1:38" ht="16">
      <c r="A73" s="44" t="s">
        <v>70</v>
      </c>
      <c r="B73" s="54">
        <f>B69+B70+B71+B72</f>
        <v>461.65</v>
      </c>
      <c r="C73" s="55">
        <f>C69+C70+C71+C72</f>
        <v>0.0</v>
      </c>
      <c r="D73" s="54">
        <f>D69+D70+D71+D72</f>
        <v>1587.4</v>
      </c>
      <c r="E73" s="54">
        <f>E69+E70+E71+E72</f>
        <v>125.0</v>
      </c>
      <c r="F73" s="54">
        <f>F69+F70+F71+F72</f>
        <v>498.6</v>
      </c>
      <c r="G73" s="55">
        <f>G69+G70+G71+G72</f>
        <v>0.0</v>
      </c>
      <c r="H73" s="55">
        <f>H69+H70+H71+H72</f>
        <v>0.0</v>
      </c>
      <c r="I73" s="54">
        <f>I69+I70+I71+I72</f>
        <v>1527.2</v>
      </c>
      <c r="J73" s="54">
        <f>J69+J70+J71+J72</f>
        <v>125.0</v>
      </c>
      <c r="K73" s="54">
        <f>K69+K70+K71+K72</f>
        <v>444.63</v>
      </c>
      <c r="L73" s="55">
        <f>L69+L70+L71+L72</f>
        <v>0.0</v>
      </c>
      <c r="M73" s="54">
        <f>M69+M70+M71+M72</f>
        <v>524.75</v>
      </c>
      <c r="N73" s="54">
        <f>N69+N70+N71+N72</f>
        <v>125.0</v>
      </c>
      <c r="O73" s="54">
        <f>O69+O70+O71+O72</f>
        <v>466.82</v>
      </c>
      <c r="P73" s="55">
        <f>P69+P70+P71+P72</f>
        <v>0.0</v>
      </c>
      <c r="Q73" s="54">
        <f>Q69+Q70+Q71+Q72</f>
        <v>1612.15</v>
      </c>
      <c r="R73" s="54">
        <f>R69+R70+R71+R72</f>
        <v>345.2</v>
      </c>
      <c r="S73" s="54">
        <f>S69+S70+S71+S72</f>
        <v>660.33</v>
      </c>
      <c r="T73" s="54">
        <f>T69+T70+T71+T72</f>
        <v>875.0</v>
      </c>
      <c r="U73" s="54">
        <f>U69+U70+U71+U72</f>
        <v>1049.75</v>
      </c>
      <c r="V73" s="54">
        <f>V69+V70+V71+V72</f>
        <v>525.0</v>
      </c>
      <c r="W73" s="54">
        <f>W69+W70+W71+W72</f>
        <v>125.0</v>
      </c>
      <c r="X73" s="54">
        <f>X69+X70+X71+X72</f>
        <v>483.14</v>
      </c>
      <c r="Y73" s="55">
        <f>Y69+Y70+Y71+Y72</f>
        <v>0.0</v>
      </c>
      <c r="Z73" s="54">
        <f>Z69+Z70+Z71+Z72</f>
        <v>500.0</v>
      </c>
      <c r="AA73" s="54">
        <f>AA69+AA70+AA71+AA72</f>
        <v>369.2</v>
      </c>
      <c r="AB73" s="54">
        <f>AB69+AB70+AB71+AB72</f>
        <v>437.91</v>
      </c>
      <c r="AC73" s="54">
        <f>AC69+AC70+AC71+AC72</f>
        <v>175.95</v>
      </c>
      <c r="AD73" s="54">
        <f>AD69+AD70+AD71+AD72</f>
        <v>500.0</v>
      </c>
      <c r="AE73" s="54">
        <f>AE69+AE70+AE71+AE72</f>
        <v>125.0</v>
      </c>
      <c r="AF73" s="54">
        <f>AF69+AF70+AF71+AF72</f>
        <v>456.8</v>
      </c>
      <c r="AG73" s="55">
        <f>AG69+AG70+AG71+AG72</f>
        <v>0.0</v>
      </c>
      <c r="AH73" s="55">
        <f>AH69+AH70+AH71+AH72</f>
        <v>0.0</v>
      </c>
      <c r="AI73" s="54">
        <f>AI69+AI70+AI71+AI72</f>
        <v>500.0</v>
      </c>
      <c r="AJ73" s="55">
        <f>AJ69+AJ70+AJ71+AJ72</f>
        <v>0.0</v>
      </c>
      <c r="AK73" s="55">
        <f>AK69+AK70+AK71+AK72</f>
        <v>0.0</v>
      </c>
      <c r="AL73" s="55">
        <f>B73+C73+D73+E73+F73+G73+H73+I73+J73+K73+L73+M73+N73+O73+P73+Q73+R73+S73+T73+U73+V73+W73+X73+Y73+Z73+AA73+AB73+AC73+AD73+AE73+AF73+AG73+AH73+AI73+AJ73+AK73</f>
        <v>14626.480000000001</v>
      </c>
    </row>
    <row r="74" spans="1:38" ht="16">
      <c r="A74" s="47" t="s">
        <v>71</v>
      </c>
      <c r="B74" s="54">
        <f>B68+B73</f>
        <v>461.65</v>
      </c>
      <c r="C74" s="55">
        <f>C68+C73</f>
        <v>0.0</v>
      </c>
      <c r="D74" s="54">
        <f>D68+D73</f>
        <v>1587.4</v>
      </c>
      <c r="E74" s="54">
        <f>E68+E73</f>
        <v>125.0</v>
      </c>
      <c r="F74" s="54">
        <f>F68+F73</f>
        <v>498.6</v>
      </c>
      <c r="G74" s="55">
        <f>G68+G73</f>
        <v>0.0</v>
      </c>
      <c r="H74" s="55">
        <f>H68+H73</f>
        <v>0.0</v>
      </c>
      <c r="I74" s="54">
        <f>I68+I73</f>
        <v>1527.2</v>
      </c>
      <c r="J74" s="54">
        <f>J68+J73</f>
        <v>125.0</v>
      </c>
      <c r="K74" s="54">
        <f>K68+K73</f>
        <v>444.63</v>
      </c>
      <c r="L74" s="55">
        <f>L68+L73</f>
        <v>0.0</v>
      </c>
      <c r="M74" s="54">
        <f>M68+M73</f>
        <v>524.75</v>
      </c>
      <c r="N74" s="54">
        <f>N68+N73</f>
        <v>125.0</v>
      </c>
      <c r="O74" s="54">
        <f>O68+O73</f>
        <v>466.82</v>
      </c>
      <c r="P74" s="55">
        <f>P68+P73</f>
        <v>0.0</v>
      </c>
      <c r="Q74" s="54">
        <f>Q68+Q73</f>
        <v>1612.15</v>
      </c>
      <c r="R74" s="54">
        <f>R68+R73</f>
        <v>345.2</v>
      </c>
      <c r="S74" s="54">
        <f>S68+S73</f>
        <v>660.33</v>
      </c>
      <c r="T74" s="54">
        <f>T68+T73</f>
        <v>875.0</v>
      </c>
      <c r="U74" s="54">
        <f>U68+U73</f>
        <v>1049.75</v>
      </c>
      <c r="V74" s="54">
        <f>V68+V73</f>
        <v>525.0</v>
      </c>
      <c r="W74" s="54">
        <f>W68+W73</f>
        <v>125.0</v>
      </c>
      <c r="X74" s="54">
        <f>X68+X73</f>
        <v>483.14</v>
      </c>
      <c r="Y74" s="55">
        <f>Y68+Y73</f>
        <v>0.0</v>
      </c>
      <c r="Z74" s="54">
        <f>Z68+Z73</f>
        <v>500.0</v>
      </c>
      <c r="AA74" s="54">
        <f>AA68+AA73</f>
        <v>369.2</v>
      </c>
      <c r="AB74" s="54">
        <f>AB68+AB73</f>
        <v>437.91</v>
      </c>
      <c r="AC74" s="54">
        <f>AC68+AC73</f>
        <v>175.95</v>
      </c>
      <c r="AD74" s="54">
        <f>AD68+AD73</f>
        <v>500.0</v>
      </c>
      <c r="AE74" s="54">
        <f>AE68+AE73</f>
        <v>125.0</v>
      </c>
      <c r="AF74" s="54">
        <f>AF68+AF73</f>
        <v>456.8</v>
      </c>
      <c r="AG74" s="55">
        <f>AG68+AG73</f>
        <v>0.0</v>
      </c>
      <c r="AH74" s="55">
        <f>AH68+AH73</f>
        <v>0.0</v>
      </c>
      <c r="AI74" s="54">
        <f>AI68+AI73</f>
        <v>500.0</v>
      </c>
      <c r="AJ74" s="55">
        <f>AJ68+AJ73</f>
        <v>0.0</v>
      </c>
      <c r="AK74" s="55">
        <f>AK68+AK73</f>
        <v>0.0</v>
      </c>
      <c r="AL74" s="55">
        <f>B74+C74+D74+E74+F74+G74+H74+I74+J74+K74+L74+M74+N74+O74+P74+Q74+R74+S74+T74+U74+V74+W74+X74+Y74+Z74+AA74+AB74+AC74+AD74+AE74+AF74+AG74+AH74+AI74+AJ74+AK74</f>
        <v>14626.480000000001</v>
      </c>
    </row>
    <row r="75" spans="1:38" ht="16">
      <c r="A75" s="41" t="s">
        <v>72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</row>
    <row r="76" spans="1:38" ht="16">
      <c r="A76" s="42" t="s">
        <v>73</v>
      </c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</row>
    <row r="77" spans="1:38" ht="16">
      <c r="A77" s="43" t="s">
        <v>74</v>
      </c>
      <c r="B77" s="52"/>
      <c r="C77" s="53">
        <v>1040.0</v>
      </c>
      <c r="D77" s="52"/>
      <c r="E77" s="53">
        <v>1040.0</v>
      </c>
      <c r="F77" s="53">
        <v>1399.0</v>
      </c>
      <c r="G77" s="53">
        <v>1040.0</v>
      </c>
      <c r="H77" s="53">
        <v>691.17</v>
      </c>
      <c r="I77" s="53">
        <v>1305.4</v>
      </c>
      <c r="J77" s="53">
        <v>1083.17</v>
      </c>
      <c r="K77" s="53">
        <v>1040.0</v>
      </c>
      <c r="L77" s="53">
        <v>503.8</v>
      </c>
      <c r="M77" s="53">
        <v>1040.0</v>
      </c>
      <c r="N77" s="53">
        <v>478.0</v>
      </c>
      <c r="O77" s="53">
        <v>1040.0</v>
      </c>
      <c r="P77" s="53">
        <v>1258.56</v>
      </c>
      <c r="Q77" s="53">
        <v>1167.0</v>
      </c>
      <c r="R77" s="52"/>
      <c r="S77" s="53">
        <v>713.82</v>
      </c>
      <c r="T77" s="53">
        <v>1040.0</v>
      </c>
      <c r="U77" s="53">
        <v>1483.47</v>
      </c>
      <c r="V77" s="53">
        <v>1355.0</v>
      </c>
      <c r="W77" s="53">
        <v>1483.47</v>
      </c>
      <c r="X77" s="53">
        <v>250.0</v>
      </c>
      <c r="Y77" s="53">
        <v>1969.64</v>
      </c>
      <c r="Z77" s="53">
        <v>1040.0</v>
      </c>
      <c r="AA77" s="53">
        <v>870.78</v>
      </c>
      <c r="AB77" s="53">
        <v>1040.0</v>
      </c>
      <c r="AC77" s="53">
        <v>792.3</v>
      </c>
      <c r="AD77" s="53">
        <v>1040.0</v>
      </c>
      <c r="AE77" s="53">
        <v>357.0</v>
      </c>
      <c r="AF77" s="53">
        <v>1483.47</v>
      </c>
      <c r="AG77" s="53">
        <v>1040.0</v>
      </c>
      <c r="AH77" s="53">
        <v>870.78</v>
      </c>
      <c r="AI77" s="53">
        <v>520.0</v>
      </c>
      <c r="AJ77" s="53">
        <v>870.78</v>
      </c>
      <c r="AK77" s="52"/>
      <c r="AL77" s="53">
        <f>B77+C77+D77+E77+F77+G77+H77+I77+J77+K77+L77+M77+N77+O77+P77+Q77+R77+S77+T77+U77+V77+W77+X77+Y77+Z77+AA77+AB77+AC77+AD77+AE77+AF77+AG77+AH77+AI77+AJ77+AK77</f>
        <v>32346.609999999997</v>
      </c>
    </row>
    <row r="78" spans="1:38" ht="16">
      <c r="A78" s="44" t="s">
        <v>75</v>
      </c>
      <c r="B78" s="55">
        <f>B76+B77</f>
        <v>0.0</v>
      </c>
      <c r="C78" s="54">
        <f>C76+C77</f>
        <v>1040.0</v>
      </c>
      <c r="D78" s="55">
        <f>D76+D77</f>
        <v>0.0</v>
      </c>
      <c r="E78" s="54">
        <f>E76+E77</f>
        <v>1040.0</v>
      </c>
      <c r="F78" s="54">
        <f>F76+F77</f>
        <v>1399.0</v>
      </c>
      <c r="G78" s="54">
        <f>G76+G77</f>
        <v>1040.0</v>
      </c>
      <c r="H78" s="54">
        <f>H76+H77</f>
        <v>691.17</v>
      </c>
      <c r="I78" s="54">
        <f>I76+I77</f>
        <v>1305.4</v>
      </c>
      <c r="J78" s="54">
        <f>J76+J77</f>
        <v>1083.17</v>
      </c>
      <c r="K78" s="54">
        <f>K76+K77</f>
        <v>1040.0</v>
      </c>
      <c r="L78" s="54">
        <f>L76+L77</f>
        <v>503.8</v>
      </c>
      <c r="M78" s="54">
        <f>M76+M77</f>
        <v>1040.0</v>
      </c>
      <c r="N78" s="54">
        <f>N76+N77</f>
        <v>478.0</v>
      </c>
      <c r="O78" s="54">
        <f>O76+O77</f>
        <v>1040.0</v>
      </c>
      <c r="P78" s="54">
        <f>P76+P77</f>
        <v>1258.56</v>
      </c>
      <c r="Q78" s="54">
        <f>Q76+Q77</f>
        <v>1167.0</v>
      </c>
      <c r="R78" s="55">
        <f>R76+R77</f>
        <v>0.0</v>
      </c>
      <c r="S78" s="54">
        <f>S76+S77</f>
        <v>713.82</v>
      </c>
      <c r="T78" s="54">
        <f>T76+T77</f>
        <v>1040.0</v>
      </c>
      <c r="U78" s="54">
        <f>U76+U77</f>
        <v>1483.47</v>
      </c>
      <c r="V78" s="54">
        <f>V76+V77</f>
        <v>1355.0</v>
      </c>
      <c r="W78" s="54">
        <f>W76+W77</f>
        <v>1483.47</v>
      </c>
      <c r="X78" s="54">
        <f>X76+X77</f>
        <v>250.0</v>
      </c>
      <c r="Y78" s="54">
        <f>Y76+Y77</f>
        <v>1969.64</v>
      </c>
      <c r="Z78" s="54">
        <f>Z76+Z77</f>
        <v>1040.0</v>
      </c>
      <c r="AA78" s="54">
        <f>AA76+AA77</f>
        <v>870.78</v>
      </c>
      <c r="AB78" s="54">
        <f>AB76+AB77</f>
        <v>1040.0</v>
      </c>
      <c r="AC78" s="54">
        <f>AC76+AC77</f>
        <v>792.3</v>
      </c>
      <c r="AD78" s="54">
        <f>AD76+AD77</f>
        <v>1040.0</v>
      </c>
      <c r="AE78" s="54">
        <f>AE76+AE77</f>
        <v>357.0</v>
      </c>
      <c r="AF78" s="54">
        <f>AF76+AF77</f>
        <v>1483.47</v>
      </c>
      <c r="AG78" s="54">
        <f>AG76+AG77</f>
        <v>1040.0</v>
      </c>
      <c r="AH78" s="54">
        <f>AH76+AH77</f>
        <v>870.78</v>
      </c>
      <c r="AI78" s="54">
        <f>AI76+AI77</f>
        <v>520.0</v>
      </c>
      <c r="AJ78" s="54">
        <f>AJ76+AJ77</f>
        <v>870.78</v>
      </c>
      <c r="AK78" s="55">
        <f>AK76+AK77</f>
        <v>0.0</v>
      </c>
      <c r="AL78" s="55">
        <f>B78+C78+D78+E78+F78+G78+H78+I78+J78+K78+L78+M78+N78+O78+P78+Q78+R78+S78+T78+U78+V78+W78+X78+Y78+Z78+AA78+AB78+AC78+AD78+AE78+AF78+AG78+AH78+AI78+AJ78+AK78</f>
        <v>32346.609999999997</v>
      </c>
    </row>
    <row r="79" spans="1:38" ht="16">
      <c r="A79" s="42" t="s">
        <v>76</v>
      </c>
      <c r="B79" s="52"/>
      <c r="C79" s="53">
        <v>41.96</v>
      </c>
      <c r="D79" s="53">
        <v>99.0</v>
      </c>
      <c r="E79" s="52"/>
      <c r="F79" s="52"/>
      <c r="G79" s="52"/>
      <c r="H79" s="52"/>
      <c r="I79" s="52"/>
      <c r="J79" s="52"/>
      <c r="K79" s="52"/>
      <c r="L79" s="52"/>
      <c r="M79" s="52"/>
      <c r="N79" s="53">
        <v>26.95</v>
      </c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3">
        <v>60.0</v>
      </c>
      <c r="Z79" s="52"/>
      <c r="AA79" s="52"/>
      <c r="AB79" s="52"/>
      <c r="AC79" s="52"/>
      <c r="AD79" s="52"/>
      <c r="AE79" s="52"/>
      <c r="AF79" s="52"/>
      <c r="AG79" s="53">
        <v>52.64</v>
      </c>
      <c r="AH79" s="53">
        <v>31.94</v>
      </c>
      <c r="AI79" s="52"/>
      <c r="AJ79" s="52"/>
      <c r="AK79" s="52"/>
      <c r="AL79" s="53">
        <f>B79+C79+D79+E79+F79+G79+H79+I79+J79+K79+L79+M79+N79+O79+P79+Q79+R79+S79+T79+U79+V79+W79+X79+Y79+Z79+AA79+AB79+AC79+AD79+AE79+AF79+AG79+AH79+AI79+AJ79+AK79</f>
        <v>312.49</v>
      </c>
    </row>
    <row r="80" spans="1:38" ht="16">
      <c r="A80" s="43" t="s">
        <v>77</v>
      </c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3">
        <v>162.6</v>
      </c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3">
        <f>B80+C80+D80+E80+F80+G80+H80+I80+J80+K80+L80+M80+N80+O80+P80+Q80+R80+S80+T80+U80+V80+W80+X80+Y80+Z80+AA80+AB80+AC80+AD80+AE80+AF80+AG80+AH80+AI80+AJ80+AK80</f>
        <v>162.6</v>
      </c>
    </row>
    <row r="81" spans="1:38" ht="16">
      <c r="A81" s="44" t="s">
        <v>78</v>
      </c>
      <c r="B81" s="55">
        <f>B79+B80</f>
        <v>0.0</v>
      </c>
      <c r="C81" s="54">
        <f>C79+C80</f>
        <v>41.96</v>
      </c>
      <c r="D81" s="54">
        <f>D79+D80</f>
        <v>99.0</v>
      </c>
      <c r="E81" s="55">
        <f>E79+E80</f>
        <v>0.0</v>
      </c>
      <c r="F81" s="55">
        <f>F79+F80</f>
        <v>0.0</v>
      </c>
      <c r="G81" s="55">
        <f>G79+G80</f>
        <v>0.0</v>
      </c>
      <c r="H81" s="55">
        <f>H79+H80</f>
        <v>0.0</v>
      </c>
      <c r="I81" s="55">
        <f>I79+I80</f>
        <v>0.0</v>
      </c>
      <c r="J81" s="55">
        <f>J79+J80</f>
        <v>0.0</v>
      </c>
      <c r="K81" s="55">
        <f>K79+K80</f>
        <v>0.0</v>
      </c>
      <c r="L81" s="55">
        <f>L79+L80</f>
        <v>0.0</v>
      </c>
      <c r="M81" s="55">
        <f>M79+M80</f>
        <v>0.0</v>
      </c>
      <c r="N81" s="54">
        <f>N79+N80</f>
        <v>26.95</v>
      </c>
      <c r="O81" s="55">
        <f>O79+O80</f>
        <v>0.0</v>
      </c>
      <c r="P81" s="55">
        <f>P79+P80</f>
        <v>0.0</v>
      </c>
      <c r="Q81" s="55">
        <f>Q79+Q80</f>
        <v>0.0</v>
      </c>
      <c r="R81" s="55">
        <f>R79+R80</f>
        <v>0.0</v>
      </c>
      <c r="S81" s="55">
        <f>S79+S80</f>
        <v>0.0</v>
      </c>
      <c r="T81" s="55">
        <f>T79+T80</f>
        <v>0.0</v>
      </c>
      <c r="U81" s="55">
        <f>U79+U80</f>
        <v>0.0</v>
      </c>
      <c r="V81" s="55">
        <f>V79+V80</f>
        <v>0.0</v>
      </c>
      <c r="W81" s="55">
        <f>W79+W80</f>
        <v>0.0</v>
      </c>
      <c r="X81" s="55">
        <f>X79+X80</f>
        <v>0.0</v>
      </c>
      <c r="Y81" s="54">
        <f>Y79+Y80</f>
        <v>222.6</v>
      </c>
      <c r="Z81" s="55">
        <f>Z79+Z80</f>
        <v>0.0</v>
      </c>
      <c r="AA81" s="55">
        <f>AA79+AA80</f>
        <v>0.0</v>
      </c>
      <c r="AB81" s="55">
        <f>AB79+AB80</f>
        <v>0.0</v>
      </c>
      <c r="AC81" s="55">
        <f>AC79+AC80</f>
        <v>0.0</v>
      </c>
      <c r="AD81" s="55">
        <f>AD79+AD80</f>
        <v>0.0</v>
      </c>
      <c r="AE81" s="55">
        <f>AE79+AE80</f>
        <v>0.0</v>
      </c>
      <c r="AF81" s="55">
        <f>AF79+AF80</f>
        <v>0.0</v>
      </c>
      <c r="AG81" s="54">
        <f>AG79+AG80</f>
        <v>52.64</v>
      </c>
      <c r="AH81" s="54">
        <f>AH79+AH80</f>
        <v>31.94</v>
      </c>
      <c r="AI81" s="55">
        <f>AI79+AI80</f>
        <v>0.0</v>
      </c>
      <c r="AJ81" s="55">
        <f>AJ79+AJ80</f>
        <v>0.0</v>
      </c>
      <c r="AK81" s="55">
        <f>AK79+AK80</f>
        <v>0.0</v>
      </c>
      <c r="AL81" s="55">
        <f>B81+C81+D81+E81+F81+G81+H81+I81+J81+K81+L81+M81+N81+O81+P81+Q81+R81+S81+T81+U81+V81+W81+X81+Y81+Z81+AA81+AB81+AC81+AD81+AE81+AF81+AG81+AH81+AI81+AJ81+AK81</f>
        <v>475.09</v>
      </c>
    </row>
    <row r="82" spans="1:38" ht="16">
      <c r="A82" s="42" t="s">
        <v>79</v>
      </c>
      <c r="B82" s="52"/>
      <c r="C82" s="52"/>
      <c r="D82" s="52"/>
      <c r="E82" s="52"/>
      <c r="F82" s="53">
        <v>15.0</v>
      </c>
      <c r="G82" s="52"/>
      <c r="H82" s="52"/>
      <c r="I82" s="52"/>
      <c r="J82" s="53">
        <v>12.46</v>
      </c>
      <c r="K82" s="52"/>
      <c r="L82" s="52"/>
      <c r="M82" s="52"/>
      <c r="N82" s="52"/>
      <c r="O82" s="53">
        <v>20.0</v>
      </c>
      <c r="P82" s="53">
        <v>10.0</v>
      </c>
      <c r="Q82" s="53">
        <v>20.1</v>
      </c>
      <c r="R82" s="52"/>
      <c r="S82" s="53">
        <v>15.0</v>
      </c>
      <c r="T82" s="53">
        <v>25.0</v>
      </c>
      <c r="U82" s="52"/>
      <c r="V82" s="52"/>
      <c r="W82" s="53">
        <v>69.0</v>
      </c>
      <c r="X82" s="53">
        <v>64.0</v>
      </c>
      <c r="Y82" s="52"/>
      <c r="Z82" s="52"/>
      <c r="AA82" s="53">
        <v>2.0</v>
      </c>
      <c r="AB82" s="53">
        <v>25.0</v>
      </c>
      <c r="AC82" s="53">
        <v>10.0</v>
      </c>
      <c r="AD82" s="53">
        <v>20.0</v>
      </c>
      <c r="AE82" s="53">
        <v>10.0</v>
      </c>
      <c r="AF82" s="53">
        <v>54.0</v>
      </c>
      <c r="AG82" s="52"/>
      <c r="AH82" s="53">
        <v>10.0</v>
      </c>
      <c r="AI82" s="52"/>
      <c r="AJ82" s="52"/>
      <c r="AK82" s="53">
        <v>15.0</v>
      </c>
      <c r="AL82" s="53">
        <f>B82+C82+D82+E82+F82+G82+H82+I82+J82+K82+L82+M82+N82+O82+P82+Q82+R82+S82+T82+U82+V82+W82+X82+Y82+Z82+AA82+AB82+AC82+AD82+AE82+AF82+AG82+AH82+AI82+AJ82+AK82</f>
        <v>396.56</v>
      </c>
    </row>
    <row r="83" spans="1:38" ht="16">
      <c r="A83" s="42" t="s">
        <v>80</v>
      </c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3">
        <v>730.0</v>
      </c>
      <c r="N83" s="52"/>
      <c r="O83" s="52"/>
      <c r="P83" s="53">
        <v>650.0</v>
      </c>
      <c r="Q83" s="53">
        <v>596.0</v>
      </c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52"/>
      <c r="AK83" s="52"/>
      <c r="AL83" s="53">
        <f>B83+C83+D83+E83+F83+G83+H83+I83+J83+K83+L83+M83+N83+O83+P83+Q83+R83+S83+T83+U83+V83+W83+X83+Y83+Z83+AA83+AB83+AC83+AD83+AE83+AF83+AG83+AH83+AI83+AJ83+AK83</f>
        <v>1976.0</v>
      </c>
    </row>
    <row r="84" spans="1:38" ht="16">
      <c r="A84" s="42" t="s">
        <v>81</v>
      </c>
      <c r="B84" s="53">
        <v>2500.0</v>
      </c>
      <c r="C84" s="52"/>
      <c r="D84" s="53">
        <v>691.17</v>
      </c>
      <c r="E84" s="52"/>
      <c r="F84" s="53">
        <v>691.17</v>
      </c>
      <c r="G84" s="53">
        <v>2500.0</v>
      </c>
      <c r="H84" s="52"/>
      <c r="I84" s="52"/>
      <c r="J84" s="52"/>
      <c r="K84" s="53">
        <v>2500.0</v>
      </c>
      <c r="L84" s="53">
        <v>741.17</v>
      </c>
      <c r="M84" s="52"/>
      <c r="N84" s="52"/>
      <c r="O84" s="53">
        <v>3191.17</v>
      </c>
      <c r="P84" s="53">
        <v>691.17</v>
      </c>
      <c r="Q84" s="52"/>
      <c r="R84" s="52"/>
      <c r="S84" s="53">
        <v>3191.17</v>
      </c>
      <c r="T84" s="52"/>
      <c r="U84" s="52"/>
      <c r="V84" s="52"/>
      <c r="W84" s="52"/>
      <c r="X84" s="53">
        <v>2500.0</v>
      </c>
      <c r="Y84" s="52"/>
      <c r="Z84" s="53">
        <v>691.17</v>
      </c>
      <c r="AA84" s="53">
        <v>691.17</v>
      </c>
      <c r="AB84" s="53">
        <v>2750.0</v>
      </c>
      <c r="AC84" s="53">
        <v>916.17</v>
      </c>
      <c r="AD84" s="52"/>
      <c r="AE84" s="52"/>
      <c r="AF84" s="53">
        <v>2500.0</v>
      </c>
      <c r="AG84" s="52"/>
      <c r="AH84" s="53">
        <v>691.17</v>
      </c>
      <c r="AI84" s="52"/>
      <c r="AJ84" s="52"/>
      <c r="AK84" s="53">
        <v>691.17</v>
      </c>
      <c r="AL84" s="53">
        <f>B84+C84+D84+E84+F84+G84+H84+I84+J84+K84+L84+M84+N84+O84+P84+Q84+R84+S84+T84+U84+V84+W84+X84+Y84+Z84+AA84+AB84+AC84+AD84+AE84+AF84+AG84+AH84+AI84+AJ84+AK84</f>
        <v>28127.86999999999</v>
      </c>
    </row>
    <row r="85" spans="1:38" ht="16">
      <c r="A85" s="43" t="s">
        <v>82</v>
      </c>
      <c r="B85" s="52"/>
      <c r="C85" s="53">
        <v>375.0</v>
      </c>
      <c r="D85" s="53">
        <v>375.0</v>
      </c>
      <c r="E85" s="52"/>
      <c r="F85" s="52"/>
      <c r="G85" s="53">
        <v>375.0</v>
      </c>
      <c r="H85" s="52"/>
      <c r="I85" s="52"/>
      <c r="J85" s="52"/>
      <c r="K85" s="52"/>
      <c r="L85" s="52"/>
      <c r="M85" s="52"/>
      <c r="N85" s="52"/>
      <c r="O85" s="53">
        <v>375.0</v>
      </c>
      <c r="P85" s="52"/>
      <c r="Q85" s="52"/>
      <c r="R85" s="52"/>
      <c r="S85" s="53">
        <v>375.0</v>
      </c>
      <c r="T85" s="52"/>
      <c r="U85" s="52"/>
      <c r="V85" s="52"/>
      <c r="W85" s="52"/>
      <c r="X85" s="53">
        <v>375.0</v>
      </c>
      <c r="Y85" s="52"/>
      <c r="Z85" s="52"/>
      <c r="AA85" s="52"/>
      <c r="AB85" s="53">
        <v>375.0</v>
      </c>
      <c r="AC85" s="52"/>
      <c r="AD85" s="52"/>
      <c r="AE85" s="52"/>
      <c r="AF85" s="53">
        <v>375.0</v>
      </c>
      <c r="AG85" s="52"/>
      <c r="AH85" s="52"/>
      <c r="AI85" s="52"/>
      <c r="AJ85" s="52"/>
      <c r="AK85" s="52"/>
      <c r="AL85" s="53">
        <f>B85+C85+D85+E85+F85+G85+H85+I85+J85+K85+L85+M85+N85+O85+P85+Q85+R85+S85+T85+U85+V85+W85+X85+Y85+Z85+AA85+AB85+AC85+AD85+AE85+AF85+AG85+AH85+AI85+AJ85+AK85</f>
        <v>3000.0</v>
      </c>
    </row>
    <row r="86" spans="1:38" ht="16">
      <c r="A86" s="43" t="s">
        <v>83</v>
      </c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53">
        <v>324.0</v>
      </c>
      <c r="AJ86" s="52"/>
      <c r="AK86" s="52"/>
      <c r="AL86" s="53">
        <f>B86+C86+D86+E86+F86+G86+H86+I86+J86+K86+L86+M86+N86+O86+P86+Q86+R86+S86+T86+U86+V86+W86+X86+Y86+Z86+AA86+AB86+AC86+AD86+AE86+AF86+AG86+AH86+AI86+AJ86+AK86</f>
        <v>324.0</v>
      </c>
    </row>
    <row r="87" spans="1:38" ht="16">
      <c r="A87" s="44" t="s">
        <v>84</v>
      </c>
      <c r="B87" s="54">
        <f>B84+B85+B86</f>
        <v>2500.0</v>
      </c>
      <c r="C87" s="54">
        <f>C84+C85+C86</f>
        <v>375.0</v>
      </c>
      <c r="D87" s="54">
        <f>D84+D85+D86</f>
        <v>1066.17</v>
      </c>
      <c r="E87" s="55">
        <f>E84+E85+E86</f>
        <v>0.0</v>
      </c>
      <c r="F87" s="54">
        <f>F84+F85+F86</f>
        <v>691.17</v>
      </c>
      <c r="G87" s="54">
        <f>G84+G85+G86</f>
        <v>2875.0</v>
      </c>
      <c r="H87" s="55">
        <f>H84+H85+H86</f>
        <v>0.0</v>
      </c>
      <c r="I87" s="55">
        <f>I84+I85+I86</f>
        <v>0.0</v>
      </c>
      <c r="J87" s="55">
        <f>J84+J85+J86</f>
        <v>0.0</v>
      </c>
      <c r="K87" s="54">
        <f>K84+K85+K86</f>
        <v>2500.0</v>
      </c>
      <c r="L87" s="54">
        <f>L84+L85+L86</f>
        <v>741.17</v>
      </c>
      <c r="M87" s="55">
        <f>M84+M85+M86</f>
        <v>0.0</v>
      </c>
      <c r="N87" s="55">
        <f>N84+N85+N86</f>
        <v>0.0</v>
      </c>
      <c r="O87" s="54">
        <f>O84+O85+O86</f>
        <v>3566.17</v>
      </c>
      <c r="P87" s="54">
        <f>P84+P85+P86</f>
        <v>691.17</v>
      </c>
      <c r="Q87" s="55">
        <f>Q84+Q85+Q86</f>
        <v>0.0</v>
      </c>
      <c r="R87" s="55">
        <f>R84+R85+R86</f>
        <v>0.0</v>
      </c>
      <c r="S87" s="54">
        <f>S84+S85+S86</f>
        <v>3566.17</v>
      </c>
      <c r="T87" s="55">
        <f>T84+T85+T86</f>
        <v>0.0</v>
      </c>
      <c r="U87" s="55">
        <f>U84+U85+U86</f>
        <v>0.0</v>
      </c>
      <c r="V87" s="55">
        <f>V84+V85+V86</f>
        <v>0.0</v>
      </c>
      <c r="W87" s="55">
        <f>W84+W85+W86</f>
        <v>0.0</v>
      </c>
      <c r="X87" s="54">
        <f>X84+X85+X86</f>
        <v>2875.0</v>
      </c>
      <c r="Y87" s="55">
        <f>Y84+Y85+Y86</f>
        <v>0.0</v>
      </c>
      <c r="Z87" s="54">
        <f>Z84+Z85+Z86</f>
        <v>691.17</v>
      </c>
      <c r="AA87" s="54">
        <f>AA84+AA85+AA86</f>
        <v>691.17</v>
      </c>
      <c r="AB87" s="54">
        <f>AB84+AB85+AB86</f>
        <v>3125.0</v>
      </c>
      <c r="AC87" s="54">
        <f>AC84+AC85+AC86</f>
        <v>916.17</v>
      </c>
      <c r="AD87" s="55">
        <f>AD84+AD85+AD86</f>
        <v>0.0</v>
      </c>
      <c r="AE87" s="55">
        <f>AE84+AE85+AE86</f>
        <v>0.0</v>
      </c>
      <c r="AF87" s="54">
        <f>AF84+AF85+AF86</f>
        <v>2875.0</v>
      </c>
      <c r="AG87" s="55">
        <f>AG84+AG85+AG86</f>
        <v>0.0</v>
      </c>
      <c r="AH87" s="54">
        <f>AH84+AH85+AH86</f>
        <v>691.17</v>
      </c>
      <c r="AI87" s="54">
        <f>AI84+AI85+AI86</f>
        <v>324.0</v>
      </c>
      <c r="AJ87" s="55">
        <f>AJ84+AJ85+AJ86</f>
        <v>0.0</v>
      </c>
      <c r="AK87" s="54">
        <f>AK84+AK85+AK86</f>
        <v>691.17</v>
      </c>
      <c r="AL87" s="55">
        <f>B87+C87+D87+E87+F87+G87+H87+I87+J87+K87+L87+M87+N87+O87+P87+Q87+R87+S87+T87+U87+V87+W87+X87+Y87+Z87+AA87+AB87+AC87+AD87+AE87+AF87+AG87+AH87+AI87+AJ87+AK87</f>
        <v>31451.86999999999</v>
      </c>
    </row>
    <row r="88" spans="1:38" ht="16">
      <c r="A88" s="42" t="s">
        <v>85</v>
      </c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52"/>
      <c r="AK88" s="52"/>
      <c r="AL88" s="52"/>
    </row>
    <row r="89" spans="1:38" ht="16">
      <c r="A89" s="43" t="s">
        <v>86</v>
      </c>
      <c r="B89" s="52"/>
      <c r="C89" s="53">
        <v>2500.0</v>
      </c>
      <c r="D89" s="52"/>
      <c r="E89" s="52"/>
      <c r="F89" s="52"/>
      <c r="G89" s="53">
        <v>2500.0</v>
      </c>
      <c r="H89" s="52"/>
      <c r="I89" s="52"/>
      <c r="J89" s="52"/>
      <c r="K89" s="53">
        <v>2500.0</v>
      </c>
      <c r="L89" s="52"/>
      <c r="M89" s="52"/>
      <c r="N89" s="52"/>
      <c r="O89" s="53">
        <v>2500.0</v>
      </c>
      <c r="P89" s="52"/>
      <c r="Q89" s="52"/>
      <c r="R89" s="52"/>
      <c r="S89" s="52"/>
      <c r="T89" s="53">
        <v>2550.0</v>
      </c>
      <c r="U89" s="52"/>
      <c r="V89" s="52"/>
      <c r="W89" s="52"/>
      <c r="X89" s="52"/>
      <c r="Y89" s="53">
        <v>3067.98</v>
      </c>
      <c r="Z89" s="52"/>
      <c r="AA89" s="52"/>
      <c r="AB89" s="53">
        <v>2806.49</v>
      </c>
      <c r="AC89" s="52"/>
      <c r="AD89" s="52"/>
      <c r="AE89" s="52"/>
      <c r="AF89" s="52"/>
      <c r="AG89" s="53">
        <v>2806.49</v>
      </c>
      <c r="AH89" s="52"/>
      <c r="AI89" s="52"/>
      <c r="AJ89" s="52"/>
      <c r="AK89" s="52"/>
      <c r="AL89" s="53">
        <f>B89+C89+D89+E89+F89+G89+H89+I89+J89+K89+L89+M89+N89+O89+P89+Q89+R89+S89+T89+U89+V89+W89+X89+Y89+Z89+AA89+AB89+AC89+AD89+AE89+AF89+AG89+AH89+AI89+AJ89+AK89</f>
        <v>21230.96</v>
      </c>
    </row>
    <row r="90" spans="1:38" ht="16">
      <c r="A90" s="43" t="s">
        <v>87</v>
      </c>
      <c r="B90" s="52"/>
      <c r="C90" s="53">
        <v>61.58</v>
      </c>
      <c r="D90" s="53">
        <v>111.86</v>
      </c>
      <c r="E90" s="53">
        <v>195.35</v>
      </c>
      <c r="F90" s="53">
        <v>114.93</v>
      </c>
      <c r="G90" s="52"/>
      <c r="H90" s="53">
        <v>37.8</v>
      </c>
      <c r="I90" s="53">
        <v>30.59</v>
      </c>
      <c r="J90" s="53">
        <v>42.53</v>
      </c>
      <c r="K90" s="53">
        <v>147.28</v>
      </c>
      <c r="L90" s="53">
        <v>192.76</v>
      </c>
      <c r="M90" s="53">
        <v>42.27</v>
      </c>
      <c r="N90" s="53">
        <v>137.04</v>
      </c>
      <c r="O90" s="53">
        <v>96.94</v>
      </c>
      <c r="P90" s="53">
        <v>106.62</v>
      </c>
      <c r="Q90" s="52"/>
      <c r="R90" s="52"/>
      <c r="S90" s="53">
        <v>50.38</v>
      </c>
      <c r="T90" s="53">
        <v>128.84</v>
      </c>
      <c r="U90" s="52"/>
      <c r="V90" s="52"/>
      <c r="W90" s="53">
        <v>23.87</v>
      </c>
      <c r="X90" s="52"/>
      <c r="Y90" s="53">
        <v>436.8</v>
      </c>
      <c r="Z90" s="53">
        <v>41.24</v>
      </c>
      <c r="AA90" s="53">
        <v>120.49</v>
      </c>
      <c r="AB90" s="52"/>
      <c r="AC90" s="53">
        <v>46.04</v>
      </c>
      <c r="AD90" s="53">
        <v>129.98</v>
      </c>
      <c r="AE90" s="53">
        <v>205.8</v>
      </c>
      <c r="AF90" s="52"/>
      <c r="AG90" s="52"/>
      <c r="AH90" s="52"/>
      <c r="AI90" s="53">
        <v>17.37</v>
      </c>
      <c r="AJ90" s="52"/>
      <c r="AK90" s="53">
        <v>64.8</v>
      </c>
      <c r="AL90" s="53">
        <f>B90+C90+D90+E90+F90+G90+H90+I90+J90+K90+L90+M90+N90+O90+P90+Q90+R90+S90+T90+U90+V90+W90+X90+Y90+Z90+AA90+AB90+AC90+AD90+AE90+AF90+AG90+AH90+AI90+AJ90+AK90</f>
        <v>2583.1600000000003</v>
      </c>
    </row>
    <row r="91" spans="1:38" ht="16">
      <c r="A91" s="43" t="s">
        <v>88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3">
        <v>125.75</v>
      </c>
      <c r="AI91" s="52"/>
      <c r="AJ91" s="52"/>
      <c r="AK91" s="52"/>
      <c r="AL91" s="53">
        <f>B91+C91+D91+E91+F91+G91+H91+I91+J91+K91+L91+M91+N91+O91+P91+Q91+R91+S91+T91+U91+V91+W91+X91+Y91+Z91+AA91+AB91+AC91+AD91+AE91+AF91+AG91+AH91+AI91+AJ91+AK91</f>
        <v>125.75</v>
      </c>
    </row>
    <row r="92" spans="1:38" ht="16">
      <c r="A92" s="43" t="s">
        <v>89</v>
      </c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53">
        <v>306.62</v>
      </c>
      <c r="AJ92" s="52"/>
      <c r="AK92" s="52"/>
      <c r="AL92" s="53">
        <f>B92+C92+D92+E92+F92+G92+H92+I92+J92+K92+L92+M92+N92+O92+P92+Q92+R92+S92+T92+U92+V92+W92+X92+Y92+Z92+AA92+AB92+AC92+AD92+AE92+AF92+AG92+AH92+AI92+AJ92+AK92</f>
        <v>306.62</v>
      </c>
    </row>
    <row r="93" spans="1:38" ht="16">
      <c r="A93" s="43" t="s">
        <v>90</v>
      </c>
      <c r="B93" s="53">
        <v>77.85</v>
      </c>
      <c r="C93" s="52"/>
      <c r="D93" s="52"/>
      <c r="E93" s="52"/>
      <c r="F93" s="53">
        <v>149.91</v>
      </c>
      <c r="G93" s="52"/>
      <c r="H93" s="52"/>
      <c r="I93" s="52"/>
      <c r="J93" s="53">
        <v>142.9</v>
      </c>
      <c r="K93" s="52"/>
      <c r="L93" s="52"/>
      <c r="M93" s="52"/>
      <c r="N93" s="52"/>
      <c r="O93" s="53">
        <v>77.85</v>
      </c>
      <c r="P93" s="52"/>
      <c r="Q93" s="52"/>
      <c r="R93" s="52"/>
      <c r="S93" s="53">
        <v>77.85</v>
      </c>
      <c r="T93" s="52"/>
      <c r="U93" s="52"/>
      <c r="V93" s="52"/>
      <c r="W93" s="52"/>
      <c r="X93" s="53">
        <v>77.85</v>
      </c>
      <c r="Y93" s="52"/>
      <c r="Z93" s="52"/>
      <c r="AA93" s="52"/>
      <c r="AB93" s="53">
        <v>77.85</v>
      </c>
      <c r="AC93" s="52"/>
      <c r="AD93" s="52"/>
      <c r="AE93" s="53">
        <v>306.62</v>
      </c>
      <c r="AF93" s="53">
        <v>113.83</v>
      </c>
      <c r="AG93" s="52"/>
      <c r="AH93" s="52"/>
      <c r="AI93" s="52"/>
      <c r="AJ93" s="52"/>
      <c r="AK93" s="53">
        <v>77.85</v>
      </c>
      <c r="AL93" s="53">
        <f>B93+C93+D93+E93+F93+G93+H93+I93+J93+K93+L93+M93+N93+O93+P93+Q93+R93+S93+T93+U93+V93+W93+X93+Y93+Z93+AA93+AB93+AC93+AD93+AE93+AF93+AG93+AH93+AI93+AJ93+AK93</f>
        <v>1180.36</v>
      </c>
    </row>
    <row r="94" spans="1:38" ht="16">
      <c r="A94" s="43" t="s">
        <v>91</v>
      </c>
      <c r="B94" s="52"/>
      <c r="C94" s="52"/>
      <c r="D94" s="52"/>
      <c r="E94" s="53">
        <v>276.58</v>
      </c>
      <c r="F94" s="52"/>
      <c r="G94" s="52"/>
      <c r="H94" s="52"/>
      <c r="I94" s="53">
        <v>276.58</v>
      </c>
      <c r="J94" s="52"/>
      <c r="K94" s="52"/>
      <c r="L94" s="52"/>
      <c r="M94" s="53">
        <v>276.58</v>
      </c>
      <c r="N94" s="52"/>
      <c r="O94" s="52"/>
      <c r="P94" s="52"/>
      <c r="Q94" s="52"/>
      <c r="R94" s="53">
        <v>276.58</v>
      </c>
      <c r="S94" s="52"/>
      <c r="T94" s="52"/>
      <c r="U94" s="52"/>
      <c r="V94" s="53">
        <v>276.62</v>
      </c>
      <c r="W94" s="52"/>
      <c r="X94" s="52"/>
      <c r="Y94" s="52"/>
      <c r="Z94" s="52"/>
      <c r="AA94" s="53">
        <v>306.62</v>
      </c>
      <c r="AB94" s="52"/>
      <c r="AC94" s="52"/>
      <c r="AD94" s="52"/>
      <c r="AE94" s="52"/>
      <c r="AF94" s="52"/>
      <c r="AG94" s="52"/>
      <c r="AH94" s="52"/>
      <c r="AI94" s="52"/>
      <c r="AJ94" s="52"/>
      <c r="AK94" s="52"/>
      <c r="AL94" s="53">
        <f>B94+C94+D94+E94+F94+G94+H94+I94+J94+K94+L94+M94+N94+O94+P94+Q94+R94+S94+T94+U94+V94+W94+X94+Y94+Z94+AA94+AB94+AC94+AD94+AE94+AF94+AG94+AH94+AI94+AJ94+AK94</f>
        <v>1689.56</v>
      </c>
    </row>
    <row r="95" spans="1:38" ht="16">
      <c r="A95" s="43" t="s">
        <v>92</v>
      </c>
      <c r="B95" s="53">
        <v>113.75</v>
      </c>
      <c r="C95" s="53">
        <v>223.0</v>
      </c>
      <c r="D95" s="53">
        <v>568.17</v>
      </c>
      <c r="E95" s="53">
        <v>95.0</v>
      </c>
      <c r="F95" s="53">
        <v>169.95</v>
      </c>
      <c r="G95" s="53">
        <v>540.75</v>
      </c>
      <c r="H95" s="53">
        <v>693.69</v>
      </c>
      <c r="I95" s="53">
        <v>182.12</v>
      </c>
      <c r="J95" s="53">
        <v>45.0</v>
      </c>
      <c r="K95" s="53">
        <v>310.74</v>
      </c>
      <c r="L95" s="53">
        <v>498.37</v>
      </c>
      <c r="M95" s="53">
        <v>642.69</v>
      </c>
      <c r="N95" s="53">
        <v>169.95</v>
      </c>
      <c r="O95" s="53">
        <v>113.75</v>
      </c>
      <c r="P95" s="53">
        <v>172.0</v>
      </c>
      <c r="Q95" s="53">
        <v>671.07</v>
      </c>
      <c r="R95" s="53">
        <v>1007.87</v>
      </c>
      <c r="S95" s="53">
        <v>117.85</v>
      </c>
      <c r="T95" s="53">
        <v>290.75</v>
      </c>
      <c r="U95" s="53">
        <v>697.82</v>
      </c>
      <c r="V95" s="53">
        <v>180.49</v>
      </c>
      <c r="W95" s="53">
        <v>169.95</v>
      </c>
      <c r="X95" s="53">
        <v>188.75</v>
      </c>
      <c r="Y95" s="53">
        <v>724.72</v>
      </c>
      <c r="Z95" s="53">
        <v>324.34</v>
      </c>
      <c r="AA95" s="53">
        <v>404.92</v>
      </c>
      <c r="AB95" s="53">
        <v>198.71</v>
      </c>
      <c r="AC95" s="53">
        <v>209.0</v>
      </c>
      <c r="AD95" s="53">
        <v>1145.14</v>
      </c>
      <c r="AE95" s="53">
        <v>370.87</v>
      </c>
      <c r="AF95" s="53">
        <v>484.49</v>
      </c>
      <c r="AG95" s="53">
        <v>349.03</v>
      </c>
      <c r="AH95" s="53">
        <v>598.41</v>
      </c>
      <c r="AI95" s="53">
        <v>561.89</v>
      </c>
      <c r="AJ95" s="53">
        <v>277.95</v>
      </c>
      <c r="AK95" s="53">
        <v>45.0</v>
      </c>
      <c r="AL95" s="53">
        <f>B95+C95+D95+E95+F95+G95+H95+I95+J95+K95+L95+M95+N95+O95+P95+Q95+R95+S95+T95+U95+V95+W95+X95+Y95+Z95+AA95+AB95+AC95+AD95+AE95+AF95+AG95+AH95+AI95+AJ95+AK95</f>
        <v>13557.949999999999</v>
      </c>
    </row>
    <row r="96" spans="1:38" ht="16">
      <c r="A96" s="44" t="s">
        <v>93</v>
      </c>
      <c r="B96" s="54">
        <f>B88+B89+B90+B91+B92+B93+B94+B95</f>
        <v>191.6</v>
      </c>
      <c r="C96" s="54">
        <f>C88+C89+C90+C91+C92+C93+C94+C95</f>
        <v>2784.58</v>
      </c>
      <c r="D96" s="54">
        <f>D88+D89+D90+D91+D92+D93+D94+D95</f>
        <v>680.03</v>
      </c>
      <c r="E96" s="54">
        <f>E88+E89+E90+E91+E92+E93+E94+E95</f>
        <v>566.93</v>
      </c>
      <c r="F96" s="54">
        <f>F88+F89+F90+F91+F92+F93+F94+F95</f>
        <v>434.79</v>
      </c>
      <c r="G96" s="54">
        <f>G88+G89+G90+G91+G92+G93+G94+G95</f>
        <v>3040.75</v>
      </c>
      <c r="H96" s="54">
        <f>H88+H89+H90+H91+H92+H93+H94+H95</f>
        <v>731.49</v>
      </c>
      <c r="I96" s="54">
        <f>I88+I89+I90+I91+I92+I93+I94+I95</f>
        <v>489.28999999999996</v>
      </c>
      <c r="J96" s="54">
        <f>J88+J89+J90+J91+J92+J93+J94+J95</f>
        <v>230.43</v>
      </c>
      <c r="K96" s="54">
        <f>K88+K89+K90+K91+K92+K93+K94+K95</f>
        <v>2958.0200000000004</v>
      </c>
      <c r="L96" s="54">
        <f>L88+L89+L90+L91+L92+L93+L94+L95</f>
        <v>691.13</v>
      </c>
      <c r="M96" s="54">
        <f>M88+M89+M90+M91+M92+M93+M94+M95</f>
        <v>961.54</v>
      </c>
      <c r="N96" s="54">
        <f>N88+N89+N90+N91+N92+N93+N94+N95</f>
        <v>306.99</v>
      </c>
      <c r="O96" s="54">
        <f>O88+O89+O90+O91+O92+O93+O94+O95</f>
        <v>2788.54</v>
      </c>
      <c r="P96" s="54">
        <f>P88+P89+P90+P91+P92+P93+P94+P95</f>
        <v>278.62</v>
      </c>
      <c r="Q96" s="54">
        <f>Q88+Q89+Q90+Q91+Q92+Q93+Q94+Q95</f>
        <v>671.07</v>
      </c>
      <c r="R96" s="54">
        <f>R88+R89+R90+R91+R92+R93+R94+R95</f>
        <v>1284.45</v>
      </c>
      <c r="S96" s="54">
        <f>S88+S89+S90+S91+S92+S93+S94+S95</f>
        <v>246.07999999999998</v>
      </c>
      <c r="T96" s="54">
        <f>T88+T89+T90+T91+T92+T93+T94+T95</f>
        <v>2969.59</v>
      </c>
      <c r="U96" s="54">
        <f>U88+U89+U90+U91+U92+U93+U94+U95</f>
        <v>697.82</v>
      </c>
      <c r="V96" s="54">
        <f>V88+V89+V90+V91+V92+V93+V94+V95</f>
        <v>457.11</v>
      </c>
      <c r="W96" s="54">
        <f>W88+W89+W90+W91+W92+W93+W94+W95</f>
        <v>193.82</v>
      </c>
      <c r="X96" s="54">
        <f>X88+X89+X90+X91+X92+X93+X94+X95</f>
        <v>266.6</v>
      </c>
      <c r="Y96" s="54">
        <f>Y88+Y89+Y90+Y91+Y92+Y93+Y94+Y95</f>
        <v>4229.5</v>
      </c>
      <c r="Z96" s="54">
        <f>Z88+Z89+Z90+Z91+Z92+Z93+Z94+Z95</f>
        <v>365.58</v>
      </c>
      <c r="AA96" s="54">
        <f>AA88+AA89+AA90+AA91+AA92+AA93+AA94+AA95</f>
        <v>832.03</v>
      </c>
      <c r="AB96" s="54">
        <f>AB88+AB89+AB90+AB91+AB92+AB93+AB94+AB95</f>
        <v>3083.0499999999997</v>
      </c>
      <c r="AC96" s="54">
        <f>AC88+AC89+AC90+AC91+AC92+AC93+AC94+AC95</f>
        <v>255.04</v>
      </c>
      <c r="AD96" s="54">
        <f>AD88+AD89+AD90+AD91+AD92+AD93+AD94+AD95</f>
        <v>1275.1200000000001</v>
      </c>
      <c r="AE96" s="54">
        <f>AE88+AE89+AE90+AE91+AE92+AE93+AE94+AE95</f>
        <v>883.2900000000001</v>
      </c>
      <c r="AF96" s="54">
        <f>AF88+AF89+AF90+AF91+AF92+AF93+AF94+AF95</f>
        <v>598.32</v>
      </c>
      <c r="AG96" s="54">
        <f>AG88+AG89+AG90+AG91+AG92+AG93+AG94+AG95</f>
        <v>3155.5199999999995</v>
      </c>
      <c r="AH96" s="54">
        <f>AH88+AH89+AH90+AH91+AH92+AH93+AH94+AH95</f>
        <v>724.16</v>
      </c>
      <c r="AI96" s="54">
        <f>AI88+AI89+AI90+AI91+AI92+AI93+AI94+AI95</f>
        <v>885.88</v>
      </c>
      <c r="AJ96" s="54">
        <f>AJ88+AJ89+AJ90+AJ91+AJ92+AJ93+AJ94+AJ95</f>
        <v>277.95</v>
      </c>
      <c r="AK96" s="54">
        <f>AK88+AK89+AK90+AK91+AK92+AK93+AK94+AK95</f>
        <v>187.64999999999998</v>
      </c>
      <c r="AL96" s="55">
        <f>B96+C96+D96+E96+F96+G96+H96+I96+J96+K96+L96+M96+N96+O96+P96+Q96+R96+S96+T96+U96+V96+W96+X96+Y96+Z96+AA96+AB96+AC96+AD96+AE96+AF96+AG96+AH96+AI96+AJ96+AK96</f>
        <v>40674.35999999999</v>
      </c>
    </row>
    <row r="97" spans="1:38" ht="16">
      <c r="A97" s="42" t="s">
        <v>94</v>
      </c>
      <c r="B97" s="52"/>
      <c r="C97" s="53">
        <v>237.63</v>
      </c>
      <c r="D97" s="52"/>
      <c r="E97" s="53">
        <v>338.65</v>
      </c>
      <c r="F97" s="53">
        <v>57.93</v>
      </c>
      <c r="G97" s="53">
        <v>512.0</v>
      </c>
      <c r="H97" s="52"/>
      <c r="I97" s="53">
        <v>258.31</v>
      </c>
      <c r="J97" s="53">
        <v>57.93</v>
      </c>
      <c r="K97" s="53">
        <v>169.02</v>
      </c>
      <c r="L97" s="53">
        <v>101.97</v>
      </c>
      <c r="M97" s="53">
        <v>169.02</v>
      </c>
      <c r="N97" s="53">
        <v>194.8</v>
      </c>
      <c r="O97" s="53">
        <v>239.15</v>
      </c>
      <c r="P97" s="52"/>
      <c r="Q97" s="53">
        <v>271.82</v>
      </c>
      <c r="R97" s="53">
        <v>83.95</v>
      </c>
      <c r="S97" s="53">
        <v>485.86</v>
      </c>
      <c r="T97" s="52"/>
      <c r="U97" s="53">
        <v>164.75</v>
      </c>
      <c r="V97" s="53">
        <v>83.95</v>
      </c>
      <c r="W97" s="53">
        <v>228.25</v>
      </c>
      <c r="X97" s="53">
        <v>290.86</v>
      </c>
      <c r="Y97" s="53">
        <v>389.88</v>
      </c>
      <c r="Z97" s="52"/>
      <c r="AA97" s="53">
        <v>254.2</v>
      </c>
      <c r="AB97" s="53">
        <v>454.67</v>
      </c>
      <c r="AC97" s="53">
        <v>299.27</v>
      </c>
      <c r="AD97" s="52"/>
      <c r="AE97" s="53">
        <v>383.22</v>
      </c>
      <c r="AF97" s="53">
        <v>88.0</v>
      </c>
      <c r="AG97" s="53">
        <v>293.78</v>
      </c>
      <c r="AH97" s="52"/>
      <c r="AI97" s="53">
        <v>265.17</v>
      </c>
      <c r="AJ97" s="53">
        <v>58.0</v>
      </c>
      <c r="AK97" s="52"/>
      <c r="AL97" s="53">
        <f>B97+C97+D97+E97+F97+G97+H97+I97+J97+K97+L97+M97+N97+O97+P97+Q97+R97+S97+T97+U97+V97+W97+X97+Y97+Z97+AA97+AB97+AC97+AD97+AE97+AF97+AG97+AH97+AI97+AJ97+AK97</f>
        <v>6432.040000000001</v>
      </c>
    </row>
    <row r="98" spans="1:38" ht="16">
      <c r="A98" s="42" t="s">
        <v>95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</row>
    <row r="99" spans="1:38" ht="16">
      <c r="A99" s="43" t="s">
        <v>96</v>
      </c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3">
        <v>1041.0</v>
      </c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52"/>
      <c r="AL99" s="53">
        <f>B99+C99+D99+E99+F99+G99+H99+I99+J99+K99+L99+M99+N99+O99+P99+Q99+R99+S99+T99+U99+V99+W99+X99+Y99+Z99+AA99+AB99+AC99+AD99+AE99+AF99+AG99+AH99+AI99+AJ99+AK99</f>
        <v>1041.0</v>
      </c>
    </row>
    <row r="100" spans="1:38" ht="16">
      <c r="A100" s="43" t="s">
        <v>97</v>
      </c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  <c r="AF100" s="52"/>
      <c r="AG100" s="52"/>
      <c r="AH100" s="52"/>
      <c r="AI100" s="52"/>
      <c r="AJ100" s="52"/>
      <c r="AK100" s="52"/>
      <c r="AL100" s="52"/>
    </row>
    <row r="101" spans="1:38" ht="16">
      <c r="A101" s="45" t="s">
        <v>98</v>
      </c>
      <c r="B101" s="52"/>
      <c r="C101" s="53">
        <v>160.69</v>
      </c>
      <c r="D101" s="53">
        <v>1353.3</v>
      </c>
      <c r="E101" s="52"/>
      <c r="F101" s="52"/>
      <c r="G101" s="53">
        <v>96.51</v>
      </c>
      <c r="H101" s="52"/>
      <c r="I101" s="53">
        <v>1086.7</v>
      </c>
      <c r="J101" s="53">
        <v>219.43</v>
      </c>
      <c r="K101" s="52"/>
      <c r="L101" s="53">
        <v>954.91</v>
      </c>
      <c r="M101" s="52"/>
      <c r="N101" s="52"/>
      <c r="O101" s="53">
        <v>1586.3</v>
      </c>
      <c r="P101" s="52"/>
      <c r="Q101" s="53">
        <v>1073.32</v>
      </c>
      <c r="R101" s="52"/>
      <c r="S101" s="52"/>
      <c r="T101" s="52"/>
      <c r="U101" s="52"/>
      <c r="V101" s="52"/>
      <c r="W101" s="52"/>
      <c r="X101" s="52"/>
      <c r="Y101" s="53">
        <v>1280.15</v>
      </c>
      <c r="Z101" s="52"/>
      <c r="AA101" s="52"/>
      <c r="AB101" s="52"/>
      <c r="AC101" s="52"/>
      <c r="AD101" s="53">
        <v>1060.68</v>
      </c>
      <c r="AE101" s="52"/>
      <c r="AF101" s="52"/>
      <c r="AG101" s="52"/>
      <c r="AH101" s="53">
        <v>1513.69</v>
      </c>
      <c r="AI101" s="53">
        <v>1442.18</v>
      </c>
      <c r="AJ101" s="52"/>
      <c r="AK101" s="52"/>
      <c r="AL101" s="53">
        <f>B101+C101+D101+E101+F101+G101+H101+I101+J101+K101+L101+M101+N101+O101+P101+Q101+R101+S101+T101+U101+V101+W101+X101+Y101+Z101+AA101+AB101+AC101+AD101+AE101+AF101+AG101+AH101+AI101+AJ101+AK101</f>
        <v>11827.86</v>
      </c>
    </row>
    <row r="102" spans="1:38" ht="16">
      <c r="A102" s="46" t="s">
        <v>99</v>
      </c>
      <c r="B102" s="55">
        <f>B100+B101</f>
        <v>0.0</v>
      </c>
      <c r="C102" s="54">
        <f>C100+C101</f>
        <v>160.69</v>
      </c>
      <c r="D102" s="54">
        <f>D100+D101</f>
        <v>1353.3</v>
      </c>
      <c r="E102" s="55">
        <f>E100+E101</f>
        <v>0.0</v>
      </c>
      <c r="F102" s="55">
        <f>F100+F101</f>
        <v>0.0</v>
      </c>
      <c r="G102" s="54">
        <f>G100+G101</f>
        <v>96.51</v>
      </c>
      <c r="H102" s="55">
        <f>H100+H101</f>
        <v>0.0</v>
      </c>
      <c r="I102" s="54">
        <f>I100+I101</f>
        <v>1086.7</v>
      </c>
      <c r="J102" s="54">
        <f>J100+J101</f>
        <v>219.43</v>
      </c>
      <c r="K102" s="55">
        <f>K100+K101</f>
        <v>0.0</v>
      </c>
      <c r="L102" s="54">
        <f>L100+L101</f>
        <v>954.91</v>
      </c>
      <c r="M102" s="55">
        <f>M100+M101</f>
        <v>0.0</v>
      </c>
      <c r="N102" s="55">
        <f>N100+N101</f>
        <v>0.0</v>
      </c>
      <c r="O102" s="54">
        <f>O100+O101</f>
        <v>1586.3</v>
      </c>
      <c r="P102" s="55">
        <f>P100+P101</f>
        <v>0.0</v>
      </c>
      <c r="Q102" s="54">
        <f>Q100+Q101</f>
        <v>1073.32</v>
      </c>
      <c r="R102" s="55">
        <f>R100+R101</f>
        <v>0.0</v>
      </c>
      <c r="S102" s="55">
        <f>S100+S101</f>
        <v>0.0</v>
      </c>
      <c r="T102" s="55">
        <f>T100+T101</f>
        <v>0.0</v>
      </c>
      <c r="U102" s="55">
        <f>U100+U101</f>
        <v>0.0</v>
      </c>
      <c r="V102" s="55">
        <f>V100+V101</f>
        <v>0.0</v>
      </c>
      <c r="W102" s="55">
        <f>W100+W101</f>
        <v>0.0</v>
      </c>
      <c r="X102" s="55">
        <f>X100+X101</f>
        <v>0.0</v>
      </c>
      <c r="Y102" s="54">
        <f>Y100+Y101</f>
        <v>1280.15</v>
      </c>
      <c r="Z102" s="55">
        <f>Z100+Z101</f>
        <v>0.0</v>
      </c>
      <c r="AA102" s="55">
        <f>AA100+AA101</f>
        <v>0.0</v>
      </c>
      <c r="AB102" s="55">
        <f>AB100+AB101</f>
        <v>0.0</v>
      </c>
      <c r="AC102" s="55">
        <f>AC100+AC101</f>
        <v>0.0</v>
      </c>
      <c r="AD102" s="54">
        <f>AD100+AD101</f>
        <v>1060.68</v>
      </c>
      <c r="AE102" s="55">
        <f>AE100+AE101</f>
        <v>0.0</v>
      </c>
      <c r="AF102" s="55">
        <f>AF100+AF101</f>
        <v>0.0</v>
      </c>
      <c r="AG102" s="55">
        <f>AG100+AG101</f>
        <v>0.0</v>
      </c>
      <c r="AH102" s="54">
        <f>AH100+AH101</f>
        <v>1513.69</v>
      </c>
      <c r="AI102" s="54">
        <f>AI100+AI101</f>
        <v>1442.18</v>
      </c>
      <c r="AJ102" s="55">
        <f>AJ100+AJ101</f>
        <v>0.0</v>
      </c>
      <c r="AK102" s="55">
        <f>AK100+AK101</f>
        <v>0.0</v>
      </c>
      <c r="AL102" s="55">
        <f>B102+C102+D102+E102+F102+G102+H102+I102+J102+K102+L102+M102+N102+O102+P102+Q102+R102+S102+T102+U102+V102+W102+X102+Y102+Z102+AA102+AB102+AC102+AD102+AE102+AF102+AG102+AH102+AI102+AJ102+AK102</f>
        <v>11827.86</v>
      </c>
    </row>
    <row r="103" spans="1:38" ht="16">
      <c r="A103" s="43" t="s">
        <v>100</v>
      </c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3">
        <v>983.5</v>
      </c>
      <c r="T103" s="52"/>
      <c r="U103" s="52"/>
      <c r="V103" s="52"/>
      <c r="W103" s="52"/>
      <c r="X103" s="53">
        <v>807.0</v>
      </c>
      <c r="Y103" s="52"/>
      <c r="Z103" s="52"/>
      <c r="AA103" s="52"/>
      <c r="AB103" s="52"/>
      <c r="AC103" s="52"/>
      <c r="AD103" s="52"/>
      <c r="AE103" s="52"/>
      <c r="AF103" s="53">
        <v>975.0</v>
      </c>
      <c r="AG103" s="52"/>
      <c r="AH103" s="53">
        <v>100.0</v>
      </c>
      <c r="AI103" s="52"/>
      <c r="AJ103" s="52"/>
      <c r="AK103" s="52"/>
      <c r="AL103" s="53">
        <f>B103+C103+D103+E103+F103+G103+H103+I103+J103+K103+L103+M103+N103+O103+P103+Q103+R103+S103+T103+U103+V103+W103+X103+Y103+Z103+AA103+AB103+AC103+AD103+AE103+AF103+AG103+AH103+AI103+AJ103+AK103</f>
        <v>2865.5</v>
      </c>
    </row>
    <row r="104" spans="1:38" ht="16">
      <c r="A104" s="44" t="s">
        <v>101</v>
      </c>
      <c r="B104" s="55">
        <f>B98+B99+B102+B103</f>
        <v>0.0</v>
      </c>
      <c r="C104" s="54">
        <f>C98+C99+C102+C103</f>
        <v>160.69</v>
      </c>
      <c r="D104" s="54">
        <f>D98+D99+D102+D103</f>
        <v>1353.3</v>
      </c>
      <c r="E104" s="55">
        <f>E98+E99+E102+E103</f>
        <v>0.0</v>
      </c>
      <c r="F104" s="55">
        <f>F98+F99+F102+F103</f>
        <v>0.0</v>
      </c>
      <c r="G104" s="54">
        <f>G98+G99+G102+G103</f>
        <v>96.51</v>
      </c>
      <c r="H104" s="55">
        <f>H98+H99+H102+H103</f>
        <v>0.0</v>
      </c>
      <c r="I104" s="54">
        <f>I98+I99+I102+I103</f>
        <v>1086.7</v>
      </c>
      <c r="J104" s="54">
        <f>J98+J99+J102+J103</f>
        <v>219.43</v>
      </c>
      <c r="K104" s="55">
        <f>K98+K99+K102+K103</f>
        <v>0.0</v>
      </c>
      <c r="L104" s="54">
        <f>L98+L99+L102+L103</f>
        <v>954.91</v>
      </c>
      <c r="M104" s="55">
        <f>M98+M99+M102+M103</f>
        <v>0.0</v>
      </c>
      <c r="N104" s="55">
        <f>N98+N99+N102+N103</f>
        <v>0.0</v>
      </c>
      <c r="O104" s="54">
        <f>O98+O99+O102+O103</f>
        <v>1586.3</v>
      </c>
      <c r="P104" s="54">
        <f>P98+P99+P102+P103</f>
        <v>1041.0</v>
      </c>
      <c r="Q104" s="54">
        <f>Q98+Q99+Q102+Q103</f>
        <v>1073.32</v>
      </c>
      <c r="R104" s="55">
        <f>R98+R99+R102+R103</f>
        <v>0.0</v>
      </c>
      <c r="S104" s="54">
        <f>S98+S99+S102+S103</f>
        <v>983.5</v>
      </c>
      <c r="T104" s="55">
        <f>T98+T99+T102+T103</f>
        <v>0.0</v>
      </c>
      <c r="U104" s="55">
        <f>U98+U99+U102+U103</f>
        <v>0.0</v>
      </c>
      <c r="V104" s="55">
        <f>V98+V99+V102+V103</f>
        <v>0.0</v>
      </c>
      <c r="W104" s="55">
        <f>W98+W99+W102+W103</f>
        <v>0.0</v>
      </c>
      <c r="X104" s="54">
        <f>X98+X99+X102+X103</f>
        <v>807.0</v>
      </c>
      <c r="Y104" s="54">
        <f>Y98+Y99+Y102+Y103</f>
        <v>1280.15</v>
      </c>
      <c r="Z104" s="55">
        <f>Z98+Z99+Z102+Z103</f>
        <v>0.0</v>
      </c>
      <c r="AA104" s="55">
        <f>AA98+AA99+AA102+AA103</f>
        <v>0.0</v>
      </c>
      <c r="AB104" s="55">
        <f>AB98+AB99+AB102+AB103</f>
        <v>0.0</v>
      </c>
      <c r="AC104" s="55">
        <f>AC98+AC99+AC102+AC103</f>
        <v>0.0</v>
      </c>
      <c r="AD104" s="54">
        <f>AD98+AD99+AD102+AD103</f>
        <v>1060.68</v>
      </c>
      <c r="AE104" s="55">
        <f>AE98+AE99+AE102+AE103</f>
        <v>0.0</v>
      </c>
      <c r="AF104" s="54">
        <f>AF98+AF99+AF102+AF103</f>
        <v>975.0</v>
      </c>
      <c r="AG104" s="55">
        <f>AG98+AG99+AG102+AG103</f>
        <v>0.0</v>
      </c>
      <c r="AH104" s="54">
        <f>AH98+AH99+AH102+AH103</f>
        <v>1613.69</v>
      </c>
      <c r="AI104" s="54">
        <f>AI98+AI99+AI102+AI103</f>
        <v>1442.18</v>
      </c>
      <c r="AJ104" s="55">
        <f>AJ98+AJ99+AJ102+AJ103</f>
        <v>0.0</v>
      </c>
      <c r="AK104" s="55">
        <f>AK98+AK99+AK102+AK103</f>
        <v>0.0</v>
      </c>
      <c r="AL104" s="55">
        <f>B104+C104+D104+E104+F104+G104+H104+I104+J104+K104+L104+M104+N104+O104+P104+Q104+R104+S104+T104+U104+V104+W104+X104+Y104+Z104+AA104+AB104+AC104+AD104+AE104+AF104+AG104+AH104+AI104+AJ104+AK104</f>
        <v>15734.36</v>
      </c>
    </row>
    <row r="105" spans="1:38" ht="16">
      <c r="A105" s="42" t="s">
        <v>102</v>
      </c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</row>
    <row r="106" spans="1:38" ht="16">
      <c r="A106" s="43" t="s">
        <v>103</v>
      </c>
      <c r="B106" s="52"/>
      <c r="C106" s="52"/>
      <c r="D106" s="52"/>
      <c r="E106" s="53">
        <v>303.3</v>
      </c>
      <c r="F106" s="52"/>
      <c r="G106" s="52"/>
      <c r="H106" s="52"/>
      <c r="I106" s="53">
        <v>303.3</v>
      </c>
      <c r="J106" s="52"/>
      <c r="K106" s="52"/>
      <c r="L106" s="52"/>
      <c r="M106" s="53">
        <v>303.3</v>
      </c>
      <c r="N106" s="52"/>
      <c r="O106" s="52"/>
      <c r="P106" s="52"/>
      <c r="Q106" s="52"/>
      <c r="R106" s="53">
        <v>303.3</v>
      </c>
      <c r="S106" s="52"/>
      <c r="T106" s="52"/>
      <c r="U106" s="52"/>
      <c r="V106" s="53">
        <v>303.3</v>
      </c>
      <c r="W106" s="52"/>
      <c r="X106" s="52"/>
      <c r="Y106" s="52"/>
      <c r="Z106" s="52"/>
      <c r="AA106" s="53">
        <v>303.3</v>
      </c>
      <c r="AB106" s="52"/>
      <c r="AC106" s="52"/>
      <c r="AD106" s="52"/>
      <c r="AE106" s="53">
        <v>303.3</v>
      </c>
      <c r="AF106" s="52"/>
      <c r="AG106" s="52"/>
      <c r="AH106" s="52"/>
      <c r="AI106" s="53">
        <v>303.3</v>
      </c>
      <c r="AJ106" s="52"/>
      <c r="AK106" s="52"/>
      <c r="AL106" s="53">
        <f>B106+C106+D106+E106+F106+G106+H106+I106+J106+K106+L106+M106+N106+O106+P106+Q106+R106+S106+T106+U106+V106+W106+X106+Y106+Z106+AA106+AB106+AC106+AD106+AE106+AF106+AG106+AH106+AI106+AJ106+AK106</f>
        <v>2426.4</v>
      </c>
    </row>
    <row r="107" spans="1:38" ht="16">
      <c r="A107" s="43" t="s">
        <v>104</v>
      </c>
      <c r="B107" s="52"/>
      <c r="C107" s="52"/>
      <c r="D107" s="52"/>
      <c r="E107" s="52"/>
      <c r="F107" s="52"/>
      <c r="G107" s="52"/>
      <c r="H107" s="52"/>
      <c r="I107" s="53">
        <v>55.04</v>
      </c>
      <c r="J107" s="53">
        <v>99.75</v>
      </c>
      <c r="K107" s="52"/>
      <c r="L107" s="52"/>
      <c r="M107" s="52"/>
      <c r="N107" s="52"/>
      <c r="O107" s="52"/>
      <c r="P107" s="52"/>
      <c r="Q107" s="53">
        <v>54.72</v>
      </c>
      <c r="R107" s="53">
        <v>41.38</v>
      </c>
      <c r="S107" s="52"/>
      <c r="T107" s="52"/>
      <c r="U107" s="52"/>
      <c r="V107" s="52"/>
      <c r="W107" s="52"/>
      <c r="X107" s="52"/>
      <c r="Y107" s="52"/>
      <c r="Z107" s="52"/>
      <c r="AA107" s="52"/>
      <c r="AB107" s="53">
        <v>2.21</v>
      </c>
      <c r="AC107" s="52"/>
      <c r="AD107" s="52"/>
      <c r="AE107" s="52"/>
      <c r="AF107" s="52"/>
      <c r="AG107" s="52"/>
      <c r="AH107" s="53">
        <v>159.93</v>
      </c>
      <c r="AI107" s="53">
        <v>59.2</v>
      </c>
      <c r="AJ107" s="53">
        <v>155.38</v>
      </c>
      <c r="AK107" s="52"/>
      <c r="AL107" s="53">
        <f>B107+C107+D107+E107+F107+G107+H107+I107+J107+K107+L107+M107+N107+O107+P107+Q107+R107+S107+T107+U107+V107+W107+X107+Y107+Z107+AA107+AB107+AC107+AD107+AE107+AF107+AG107+AH107+AI107+AJ107+AK107</f>
        <v>627.6099999999999</v>
      </c>
    </row>
    <row r="108" spans="1:38" ht="16">
      <c r="A108" s="43" t="s">
        <v>105</v>
      </c>
      <c r="B108" s="52"/>
      <c r="C108" s="52"/>
      <c r="D108" s="52"/>
      <c r="E108" s="53">
        <v>1880.6</v>
      </c>
      <c r="F108" s="52"/>
      <c r="G108" s="52"/>
      <c r="H108" s="52"/>
      <c r="I108" s="52"/>
      <c r="J108" s="53">
        <v>1933.22</v>
      </c>
      <c r="K108" s="52"/>
      <c r="L108" s="52"/>
      <c r="M108" s="52"/>
      <c r="N108" s="53">
        <v>1933.22</v>
      </c>
      <c r="O108" s="52"/>
      <c r="P108" s="52"/>
      <c r="Q108" s="52"/>
      <c r="R108" s="53">
        <v>1933.22</v>
      </c>
      <c r="S108" s="52"/>
      <c r="T108" s="52"/>
      <c r="U108" s="52"/>
      <c r="V108" s="53">
        <v>2236.63</v>
      </c>
      <c r="W108" s="52"/>
      <c r="X108" s="52"/>
      <c r="Y108" s="52"/>
      <c r="Z108" s="52"/>
      <c r="AA108" s="53">
        <v>2236.63</v>
      </c>
      <c r="AB108" s="52"/>
      <c r="AC108" s="52"/>
      <c r="AD108" s="52"/>
      <c r="AE108" s="53">
        <v>964.3</v>
      </c>
      <c r="AF108" s="52"/>
      <c r="AG108" s="52"/>
      <c r="AH108" s="52"/>
      <c r="AI108" s="53">
        <v>964.29</v>
      </c>
      <c r="AJ108" s="52"/>
      <c r="AK108" s="52"/>
      <c r="AL108" s="53">
        <f>B108+C108+D108+E108+F108+G108+H108+I108+J108+K108+L108+M108+N108+O108+P108+Q108+R108+S108+T108+U108+V108+W108+X108+Y108+Z108+AA108+AB108+AC108+AD108+AE108+AF108+AG108+AH108+AI108+AJ108+AK108</f>
        <v>14082.11</v>
      </c>
    </row>
    <row r="109" spans="1:38" ht="16">
      <c r="A109" s="43" t="s">
        <v>106</v>
      </c>
      <c r="B109" s="52"/>
      <c r="C109" s="53">
        <v>53.43</v>
      </c>
      <c r="D109" s="53">
        <v>2336.24</v>
      </c>
      <c r="E109" s="53">
        <v>47.64</v>
      </c>
      <c r="F109" s="52"/>
      <c r="G109" s="52"/>
      <c r="H109" s="53">
        <v>18.06</v>
      </c>
      <c r="I109" s="53">
        <v>2079.61</v>
      </c>
      <c r="J109" s="53">
        <v>2383.75</v>
      </c>
      <c r="K109" s="53">
        <v>372.4</v>
      </c>
      <c r="L109" s="53">
        <v>381.05</v>
      </c>
      <c r="M109" s="53">
        <v>15.25</v>
      </c>
      <c r="N109" s="53">
        <v>348.09</v>
      </c>
      <c r="O109" s="53">
        <v>61.08</v>
      </c>
      <c r="P109" s="53">
        <v>10.77</v>
      </c>
      <c r="Q109" s="53">
        <v>3928.43</v>
      </c>
      <c r="R109" s="53">
        <v>3660.86</v>
      </c>
      <c r="S109" s="53">
        <v>771.93</v>
      </c>
      <c r="T109" s="53">
        <v>783.4</v>
      </c>
      <c r="U109" s="53">
        <v>9226.44</v>
      </c>
      <c r="V109" s="53">
        <v>23.0</v>
      </c>
      <c r="W109" s="53">
        <v>1136.8</v>
      </c>
      <c r="X109" s="53">
        <v>582.19</v>
      </c>
      <c r="Y109" s="53">
        <v>1695.73</v>
      </c>
      <c r="Z109" s="53">
        <v>2692.9</v>
      </c>
      <c r="AA109" s="53">
        <v>685.69</v>
      </c>
      <c r="AB109" s="52"/>
      <c r="AC109" s="53">
        <v>7053.41</v>
      </c>
      <c r="AD109" s="53">
        <v>60.74</v>
      </c>
      <c r="AE109" s="53">
        <v>1258.72</v>
      </c>
      <c r="AF109" s="53">
        <v>111.44</v>
      </c>
      <c r="AG109" s="53">
        <v>2251.94</v>
      </c>
      <c r="AH109" s="53">
        <v>8.24</v>
      </c>
      <c r="AI109" s="52"/>
      <c r="AJ109" s="53">
        <v>1461.35</v>
      </c>
      <c r="AK109" s="52"/>
      <c r="AL109" s="53">
        <f>B109+C109+D109+E109+F109+G109+H109+I109+J109+K109+L109+M109+N109+O109+P109+Q109+R109+S109+T109+U109+V109+W109+X109+Y109+Z109+AA109+AB109+AC109+AD109+AE109+AF109+AG109+AH109+AI109+AJ109+AK109</f>
        <v>45500.579999999994</v>
      </c>
    </row>
    <row r="110" spans="1:38" ht="16">
      <c r="A110" s="44" t="s">
        <v>107</v>
      </c>
      <c r="B110" s="55">
        <f>B105+B106+B107+B108+B109</f>
        <v>0.0</v>
      </c>
      <c r="C110" s="54">
        <f>C105+C106+C107+C108+C109</f>
        <v>53.43</v>
      </c>
      <c r="D110" s="54">
        <f>D105+D106+D107+D108+D109</f>
        <v>2336.24</v>
      </c>
      <c r="E110" s="54">
        <f>E105+E106+E107+E108+E109</f>
        <v>2231.54</v>
      </c>
      <c r="F110" s="55">
        <f>F105+F106+F107+F108+F109</f>
        <v>0.0</v>
      </c>
      <c r="G110" s="55">
        <f>G105+G106+G107+G108+G109</f>
        <v>0.0</v>
      </c>
      <c r="H110" s="54">
        <f>H105+H106+H107+H108+H109</f>
        <v>18.06</v>
      </c>
      <c r="I110" s="54">
        <f>I105+I106+I107+I108+I109</f>
        <v>2437.9500000000003</v>
      </c>
      <c r="J110" s="54">
        <f>J105+J106+J107+J108+J109</f>
        <v>4416.72</v>
      </c>
      <c r="K110" s="54">
        <f>K105+K106+K107+K108+K109</f>
        <v>372.4</v>
      </c>
      <c r="L110" s="54">
        <f>L105+L106+L107+L108+L109</f>
        <v>381.05</v>
      </c>
      <c r="M110" s="54">
        <f>M105+M106+M107+M108+M109</f>
        <v>318.55</v>
      </c>
      <c r="N110" s="54">
        <f>N105+N106+N107+N108+N109</f>
        <v>2281.31</v>
      </c>
      <c r="O110" s="54">
        <f>O105+O106+O107+O108+O109</f>
        <v>61.08</v>
      </c>
      <c r="P110" s="54">
        <f>P105+P106+P107+P108+P109</f>
        <v>10.77</v>
      </c>
      <c r="Q110" s="54">
        <f>Q105+Q106+Q107+Q108+Q109</f>
        <v>3983.1499999999996</v>
      </c>
      <c r="R110" s="54">
        <f>R105+R106+R107+R108+R109</f>
        <v>5938.76</v>
      </c>
      <c r="S110" s="54">
        <f>S105+S106+S107+S108+S109</f>
        <v>771.93</v>
      </c>
      <c r="T110" s="54">
        <f>T105+T106+T107+T108+T109</f>
        <v>783.4</v>
      </c>
      <c r="U110" s="54">
        <f>U105+U106+U107+U108+U109</f>
        <v>9226.44</v>
      </c>
      <c r="V110" s="54">
        <f>V105+V106+V107+V108+V109</f>
        <v>2562.9300000000003</v>
      </c>
      <c r="W110" s="54">
        <f>W105+W106+W107+W108+W109</f>
        <v>1136.8</v>
      </c>
      <c r="X110" s="54">
        <f>X105+X106+X107+X108+X109</f>
        <v>582.19</v>
      </c>
      <c r="Y110" s="54">
        <f>Y105+Y106+Y107+Y108+Y109</f>
        <v>1695.73</v>
      </c>
      <c r="Z110" s="54">
        <f>Z105+Z106+Z107+Z108+Z109</f>
        <v>2692.9</v>
      </c>
      <c r="AA110" s="54">
        <f>AA105+AA106+AA107+AA108+AA109</f>
        <v>3225.6200000000003</v>
      </c>
      <c r="AB110" s="54">
        <f>AB105+AB106+AB107+AB108+AB109</f>
        <v>2.21</v>
      </c>
      <c r="AC110" s="54">
        <f>AC105+AC106+AC107+AC108+AC109</f>
        <v>7053.41</v>
      </c>
      <c r="AD110" s="54">
        <f>AD105+AD106+AD107+AD108+AD109</f>
        <v>60.74</v>
      </c>
      <c r="AE110" s="54">
        <f>AE105+AE106+AE107+AE108+AE109</f>
        <v>2526.3199999999997</v>
      </c>
      <c r="AF110" s="54">
        <f>AF105+AF106+AF107+AF108+AF109</f>
        <v>111.44</v>
      </c>
      <c r="AG110" s="54">
        <f>AG105+AG106+AG107+AG108+AG109</f>
        <v>2251.94</v>
      </c>
      <c r="AH110" s="54">
        <f>AH105+AH106+AH107+AH108+AH109</f>
        <v>168.17000000000002</v>
      </c>
      <c r="AI110" s="54">
        <f>AI105+AI106+AI107+AI108+AI109</f>
        <v>1326.79</v>
      </c>
      <c r="AJ110" s="54">
        <f>AJ105+AJ106+AJ107+AJ108+AJ109</f>
        <v>1616.73</v>
      </c>
      <c r="AK110" s="55">
        <f>AK105+AK106+AK107+AK108+AK109</f>
        <v>0.0</v>
      </c>
      <c r="AL110" s="55">
        <f>B110+C110+D110+E110+F110+G110+H110+I110+J110+K110+L110+M110+N110+O110+P110+Q110+R110+S110+T110+U110+V110+W110+X110+Y110+Z110+AA110+AB110+AC110+AD110+AE110+AF110+AG110+AH110+AI110+AJ110+AK110</f>
        <v>62636.70000000001</v>
      </c>
    </row>
    <row r="111" spans="1:38" ht="16">
      <c r="A111" s="42" t="s">
        <v>108</v>
      </c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  <c r="AF111" s="52"/>
      <c r="AG111" s="52"/>
      <c r="AH111" s="52"/>
      <c r="AI111" s="52"/>
      <c r="AJ111" s="52"/>
      <c r="AK111" s="52"/>
      <c r="AL111" s="52"/>
    </row>
    <row r="112" spans="1:38" ht="16">
      <c r="A112" s="43" t="s">
        <v>109</v>
      </c>
      <c r="B112" s="52"/>
      <c r="C112" s="52"/>
      <c r="D112" s="53">
        <v>4542.3</v>
      </c>
      <c r="E112" s="53">
        <v>1246.12</v>
      </c>
      <c r="F112" s="53">
        <v>20.0</v>
      </c>
      <c r="G112" s="52"/>
      <c r="H112" s="52"/>
      <c r="I112" s="53">
        <v>1246.12</v>
      </c>
      <c r="J112" s="52"/>
      <c r="K112" s="52"/>
      <c r="L112" s="52"/>
      <c r="M112" s="53">
        <v>1246.12</v>
      </c>
      <c r="N112" s="52"/>
      <c r="O112" s="52"/>
      <c r="P112" s="52"/>
      <c r="Q112" s="52"/>
      <c r="R112" s="53">
        <v>1246.12</v>
      </c>
      <c r="S112" s="52"/>
      <c r="T112" s="52"/>
      <c r="U112" s="52"/>
      <c r="V112" s="53">
        <v>1282.7</v>
      </c>
      <c r="W112" s="52"/>
      <c r="X112" s="52"/>
      <c r="Y112" s="52"/>
      <c r="Z112" s="52"/>
      <c r="AA112" s="53">
        <v>1246.12</v>
      </c>
      <c r="AB112" s="52"/>
      <c r="AC112" s="52"/>
      <c r="AD112" s="52"/>
      <c r="AE112" s="53">
        <v>1246.12</v>
      </c>
      <c r="AF112" s="52"/>
      <c r="AG112" s="52"/>
      <c r="AH112" s="52"/>
      <c r="AI112" s="52"/>
      <c r="AJ112" s="52"/>
      <c r="AK112" s="52"/>
      <c r="AL112" s="53">
        <f>B112+C112+D112+E112+F112+G112+H112+I112+J112+K112+L112+M112+N112+O112+P112+Q112+R112+S112+T112+U112+V112+W112+X112+Y112+Z112+AA112+AB112+AC112+AD112+AE112+AF112+AG112+AH112+AI112+AJ112+AK112</f>
        <v>13321.719999999998</v>
      </c>
    </row>
    <row r="113" spans="1:38" ht="16">
      <c r="A113" s="43" t="s">
        <v>110</v>
      </c>
      <c r="B113" s="52"/>
      <c r="C113" s="52"/>
      <c r="D113" s="53">
        <v>5741.15</v>
      </c>
      <c r="E113" s="52"/>
      <c r="F113" s="52"/>
      <c r="G113" s="52"/>
      <c r="H113" s="52"/>
      <c r="I113" s="53">
        <v>206.15</v>
      </c>
      <c r="J113" s="52"/>
      <c r="K113" s="52"/>
      <c r="L113" s="52"/>
      <c r="M113" s="53">
        <v>1157.65</v>
      </c>
      <c r="N113" s="52"/>
      <c r="O113" s="52"/>
      <c r="P113" s="52"/>
      <c r="Q113" s="53">
        <v>1080.65</v>
      </c>
      <c r="R113" s="52"/>
      <c r="S113" s="52"/>
      <c r="T113" s="52"/>
      <c r="U113" s="53">
        <v>1080.65</v>
      </c>
      <c r="V113" s="52"/>
      <c r="W113" s="52"/>
      <c r="X113" s="52"/>
      <c r="Y113" s="52"/>
      <c r="Z113" s="53">
        <v>1080.65</v>
      </c>
      <c r="AA113" s="52"/>
      <c r="AB113" s="52"/>
      <c r="AC113" s="52"/>
      <c r="AD113" s="53">
        <v>1080.65</v>
      </c>
      <c r="AE113" s="52"/>
      <c r="AF113" s="52"/>
      <c r="AG113" s="52"/>
      <c r="AH113" s="52"/>
      <c r="AI113" s="53">
        <v>1080.65</v>
      </c>
      <c r="AJ113" s="52"/>
      <c r="AK113" s="52"/>
      <c r="AL113" s="53">
        <f>B113+C113+D113+E113+F113+G113+H113+I113+J113+K113+L113+M113+N113+O113+P113+Q113+R113+S113+T113+U113+V113+W113+X113+Y113+Z113+AA113+AB113+AC113+AD113+AE113+AF113+AG113+AH113+AI113+AJ113+AK113</f>
        <v>12508.199999999997</v>
      </c>
    </row>
    <row r="114" spans="1:38" ht="16">
      <c r="A114" s="44" t="s">
        <v>111</v>
      </c>
      <c r="B114" s="55">
        <f>B111+B112+B113</f>
        <v>0.0</v>
      </c>
      <c r="C114" s="55">
        <f>C111+C112+C113</f>
        <v>0.0</v>
      </c>
      <c r="D114" s="54">
        <f>D111+D112+D113</f>
        <v>10283.45</v>
      </c>
      <c r="E114" s="54">
        <f>E111+E112+E113</f>
        <v>1246.12</v>
      </c>
      <c r="F114" s="54">
        <f>F111+F112+F113</f>
        <v>20.0</v>
      </c>
      <c r="G114" s="55">
        <f>G111+G112+G113</f>
        <v>0.0</v>
      </c>
      <c r="H114" s="55">
        <f>H111+H112+H113</f>
        <v>0.0</v>
      </c>
      <c r="I114" s="54">
        <f>I111+I112+I113</f>
        <v>1452.27</v>
      </c>
      <c r="J114" s="55">
        <f>J111+J112+J113</f>
        <v>0.0</v>
      </c>
      <c r="K114" s="55">
        <f>K111+K112+K113</f>
        <v>0.0</v>
      </c>
      <c r="L114" s="55">
        <f>L111+L112+L113</f>
        <v>0.0</v>
      </c>
      <c r="M114" s="54">
        <f>M111+M112+M113</f>
        <v>2403.77</v>
      </c>
      <c r="N114" s="55">
        <f>N111+N112+N113</f>
        <v>0.0</v>
      </c>
      <c r="O114" s="55">
        <f>O111+O112+O113</f>
        <v>0.0</v>
      </c>
      <c r="P114" s="55">
        <f>P111+P112+P113</f>
        <v>0.0</v>
      </c>
      <c r="Q114" s="54">
        <f>Q111+Q112+Q113</f>
        <v>1080.65</v>
      </c>
      <c r="R114" s="54">
        <f>R111+R112+R113</f>
        <v>1246.12</v>
      </c>
      <c r="S114" s="55">
        <f>S111+S112+S113</f>
        <v>0.0</v>
      </c>
      <c r="T114" s="55">
        <f>T111+T112+T113</f>
        <v>0.0</v>
      </c>
      <c r="U114" s="54">
        <f>U111+U112+U113</f>
        <v>1080.65</v>
      </c>
      <c r="V114" s="54">
        <f>V111+V112+V113</f>
        <v>1282.7</v>
      </c>
      <c r="W114" s="55">
        <f>W111+W112+W113</f>
        <v>0.0</v>
      </c>
      <c r="X114" s="55">
        <f>X111+X112+X113</f>
        <v>0.0</v>
      </c>
      <c r="Y114" s="55">
        <f>Y111+Y112+Y113</f>
        <v>0.0</v>
      </c>
      <c r="Z114" s="54">
        <f>Z111+Z112+Z113</f>
        <v>1080.65</v>
      </c>
      <c r="AA114" s="54">
        <f>AA111+AA112+AA113</f>
        <v>1246.12</v>
      </c>
      <c r="AB114" s="55">
        <f>AB111+AB112+AB113</f>
        <v>0.0</v>
      </c>
      <c r="AC114" s="55">
        <f>AC111+AC112+AC113</f>
        <v>0.0</v>
      </c>
      <c r="AD114" s="54">
        <f>AD111+AD112+AD113</f>
        <v>1080.65</v>
      </c>
      <c r="AE114" s="54">
        <f>AE111+AE112+AE113</f>
        <v>1246.12</v>
      </c>
      <c r="AF114" s="55">
        <f>AF111+AF112+AF113</f>
        <v>0.0</v>
      </c>
      <c r="AG114" s="55">
        <f>AG111+AG112+AG113</f>
        <v>0.0</v>
      </c>
      <c r="AH114" s="55">
        <f>AH111+AH112+AH113</f>
        <v>0.0</v>
      </c>
      <c r="AI114" s="54">
        <f>AI111+AI112+AI113</f>
        <v>1080.65</v>
      </c>
      <c r="AJ114" s="55">
        <f>AJ111+AJ112+AJ113</f>
        <v>0.0</v>
      </c>
      <c r="AK114" s="55">
        <f>AK111+AK112+AK113</f>
        <v>0.0</v>
      </c>
      <c r="AL114" s="55">
        <f>B114+C114+D114+E114+F114+G114+H114+I114+J114+K114+L114+M114+N114+O114+P114+Q114+R114+S114+T114+U114+V114+W114+X114+Y114+Z114+AA114+AB114+AC114+AD114+AE114+AF114+AG114+AH114+AI114+AJ114+AK114</f>
        <v>25829.920000000006</v>
      </c>
    </row>
    <row r="115" spans="1:38" ht="16">
      <c r="A115" s="42" t="s">
        <v>112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  <c r="AE115" s="52"/>
      <c r="AF115" s="52"/>
      <c r="AG115" s="52"/>
      <c r="AH115" s="52"/>
      <c r="AI115" s="52"/>
      <c r="AJ115" s="52"/>
      <c r="AK115" s="52"/>
      <c r="AL115" s="52"/>
    </row>
    <row r="116" spans="1:38" ht="16">
      <c r="A116" s="43" t="s">
        <v>113</v>
      </c>
      <c r="B116" s="52"/>
      <c r="C116" s="52"/>
      <c r="D116" s="52"/>
      <c r="E116" s="53">
        <v>1623.58</v>
      </c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3">
        <v>51.45</v>
      </c>
      <c r="W116" s="52"/>
      <c r="X116" s="52"/>
      <c r="Y116" s="52"/>
      <c r="Z116" s="52"/>
      <c r="AA116" s="53">
        <v>50.0</v>
      </c>
      <c r="AB116" s="53">
        <v>35.7</v>
      </c>
      <c r="AC116" s="53">
        <v>24.0</v>
      </c>
      <c r="AD116" s="52"/>
      <c r="AE116" s="52"/>
      <c r="AF116" s="53">
        <v>76.24</v>
      </c>
      <c r="AG116" s="52"/>
      <c r="AH116" s="52"/>
      <c r="AI116" s="52"/>
      <c r="AJ116" s="52"/>
      <c r="AK116" s="52"/>
      <c r="AL116" s="53">
        <f>B116+C116+D116+E116+F116+G116+H116+I116+J116+K116+L116+M116+N116+O116+P116+Q116+R116+S116+T116+U116+V116+W116+X116+Y116+Z116+AA116+AB116+AC116+AD116+AE116+AF116+AG116+AH116+AI116+AJ116+AK116</f>
        <v>1860.97</v>
      </c>
    </row>
    <row r="117" spans="1:38" ht="16">
      <c r="A117" s="43" t="s">
        <v>114</v>
      </c>
      <c r="B117" s="52"/>
      <c r="C117" s="52"/>
      <c r="D117" s="53">
        <v>1515.24</v>
      </c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  <c r="AE117" s="52"/>
      <c r="AF117" s="52"/>
      <c r="AG117" s="52"/>
      <c r="AH117" s="52"/>
      <c r="AI117" s="52"/>
      <c r="AJ117" s="52"/>
      <c r="AK117" s="52"/>
      <c r="AL117" s="53">
        <f>B117+C117+D117+E117+F117+G117+H117+I117+J117+K117+L117+M117+N117+O117+P117+Q117+R117+S117+T117+U117+V117+W117+X117+Y117+Z117+AA117+AB117+AC117+AD117+AE117+AF117+AG117+AH117+AI117+AJ117+AK117</f>
        <v>1515.24</v>
      </c>
    </row>
    <row r="118" spans="1:38" ht="16">
      <c r="A118" s="44" t="s">
        <v>115</v>
      </c>
      <c r="B118" s="55">
        <f>B115+B116+B117</f>
        <v>0.0</v>
      </c>
      <c r="C118" s="55">
        <f>C115+C116+C117</f>
        <v>0.0</v>
      </c>
      <c r="D118" s="54">
        <f>D115+D116+D117</f>
        <v>1515.24</v>
      </c>
      <c r="E118" s="54">
        <f>E115+E116+E117</f>
        <v>1623.58</v>
      </c>
      <c r="F118" s="55">
        <f>F115+F116+F117</f>
        <v>0.0</v>
      </c>
      <c r="G118" s="55">
        <f>G115+G116+G117</f>
        <v>0.0</v>
      </c>
      <c r="H118" s="55">
        <f>H115+H116+H117</f>
        <v>0.0</v>
      </c>
      <c r="I118" s="55">
        <f>I115+I116+I117</f>
        <v>0.0</v>
      </c>
      <c r="J118" s="55">
        <f>J115+J116+J117</f>
        <v>0.0</v>
      </c>
      <c r="K118" s="55">
        <f>K115+K116+K117</f>
        <v>0.0</v>
      </c>
      <c r="L118" s="55">
        <f>L115+L116+L117</f>
        <v>0.0</v>
      </c>
      <c r="M118" s="55">
        <f>M115+M116+M117</f>
        <v>0.0</v>
      </c>
      <c r="N118" s="55">
        <f>N115+N116+N117</f>
        <v>0.0</v>
      </c>
      <c r="O118" s="55">
        <f>O115+O116+O117</f>
        <v>0.0</v>
      </c>
      <c r="P118" s="55">
        <f>P115+P116+P117</f>
        <v>0.0</v>
      </c>
      <c r="Q118" s="55">
        <f>Q115+Q116+Q117</f>
        <v>0.0</v>
      </c>
      <c r="R118" s="55">
        <f>R115+R116+R117</f>
        <v>0.0</v>
      </c>
      <c r="S118" s="55">
        <f>S115+S116+S117</f>
        <v>0.0</v>
      </c>
      <c r="T118" s="55">
        <f>T115+T116+T117</f>
        <v>0.0</v>
      </c>
      <c r="U118" s="55">
        <f>U115+U116+U117</f>
        <v>0.0</v>
      </c>
      <c r="V118" s="54">
        <f>V115+V116+V117</f>
        <v>51.45</v>
      </c>
      <c r="W118" s="55">
        <f>W115+W116+W117</f>
        <v>0.0</v>
      </c>
      <c r="X118" s="55">
        <f>X115+X116+X117</f>
        <v>0.0</v>
      </c>
      <c r="Y118" s="55">
        <f>Y115+Y116+Y117</f>
        <v>0.0</v>
      </c>
      <c r="Z118" s="55">
        <f>Z115+Z116+Z117</f>
        <v>0.0</v>
      </c>
      <c r="AA118" s="54">
        <f>AA115+AA116+AA117</f>
        <v>50.0</v>
      </c>
      <c r="AB118" s="54">
        <f>AB115+AB116+AB117</f>
        <v>35.7</v>
      </c>
      <c r="AC118" s="54">
        <f>AC115+AC116+AC117</f>
        <v>24.0</v>
      </c>
      <c r="AD118" s="55">
        <f>AD115+AD116+AD117</f>
        <v>0.0</v>
      </c>
      <c r="AE118" s="55">
        <f>AE115+AE116+AE117</f>
        <v>0.0</v>
      </c>
      <c r="AF118" s="54">
        <f>AF115+AF116+AF117</f>
        <v>76.24</v>
      </c>
      <c r="AG118" s="55">
        <f>AG115+AG116+AG117</f>
        <v>0.0</v>
      </c>
      <c r="AH118" s="55">
        <f>AH115+AH116+AH117</f>
        <v>0.0</v>
      </c>
      <c r="AI118" s="55">
        <f>AI115+AI116+AI117</f>
        <v>0.0</v>
      </c>
      <c r="AJ118" s="55">
        <f>AJ115+AJ116+AJ117</f>
        <v>0.0</v>
      </c>
      <c r="AK118" s="55">
        <f>AK115+AK116+AK117</f>
        <v>0.0</v>
      </c>
      <c r="AL118" s="55">
        <f>B118+C118+D118+E118+F118+G118+H118+I118+J118+K118+L118+M118+N118+O118+P118+Q118+R118+S118+T118+U118+V118+W118+X118+Y118+Z118+AA118+AB118+AC118+AD118+AE118+AF118+AG118+AH118+AI118+AJ118+AK118</f>
        <v>3376.209999999999</v>
      </c>
    </row>
    <row r="119" spans="1:38" ht="16">
      <c r="A119" s="42" t="s">
        <v>116</v>
      </c>
      <c r="B119" s="52"/>
      <c r="C119" s="53">
        <v>19.99</v>
      </c>
      <c r="D119" s="52"/>
      <c r="E119" s="52"/>
      <c r="F119" s="52"/>
      <c r="G119" s="53">
        <v>19.99</v>
      </c>
      <c r="H119" s="52"/>
      <c r="I119" s="52"/>
      <c r="J119" s="53">
        <v>19.99</v>
      </c>
      <c r="K119" s="53">
        <v>89.96</v>
      </c>
      <c r="L119" s="52"/>
      <c r="M119" s="53">
        <v>19.99</v>
      </c>
      <c r="N119" s="52"/>
      <c r="O119" s="53">
        <v>19.99</v>
      </c>
      <c r="P119" s="52"/>
      <c r="Q119" s="52"/>
      <c r="R119" s="52"/>
      <c r="S119" s="52"/>
      <c r="T119" s="53">
        <v>19.99</v>
      </c>
      <c r="U119" s="52"/>
      <c r="V119" s="52"/>
      <c r="W119" s="52"/>
      <c r="X119" s="52"/>
      <c r="Y119" s="53">
        <v>19.99</v>
      </c>
      <c r="Z119" s="52"/>
      <c r="AA119" s="52"/>
      <c r="AB119" s="53">
        <v>19.99</v>
      </c>
      <c r="AC119" s="52"/>
      <c r="AD119" s="52"/>
      <c r="AE119" s="52"/>
      <c r="AF119" s="52"/>
      <c r="AG119" s="53">
        <v>19.99</v>
      </c>
      <c r="AH119" s="52"/>
      <c r="AI119" s="52"/>
      <c r="AJ119" s="52"/>
      <c r="AK119" s="52"/>
      <c r="AL119" s="53">
        <f>B119+C119+D119+E119+F119+G119+H119+I119+J119+K119+L119+M119+N119+O119+P119+Q119+R119+S119+T119+U119+V119+W119+X119+Y119+Z119+AA119+AB119+AC119+AD119+AE119+AF119+AG119+AH119+AI119+AJ119+AK119</f>
        <v>269.87000000000006</v>
      </c>
    </row>
    <row r="120" spans="1:38" ht="16">
      <c r="A120" s="42" t="s">
        <v>117</v>
      </c>
      <c r="B120" s="52"/>
      <c r="C120" s="53">
        <v>73.8</v>
      </c>
      <c r="D120" s="52"/>
      <c r="E120" s="52"/>
      <c r="F120" s="52"/>
      <c r="G120" s="52"/>
      <c r="H120" s="52"/>
      <c r="I120" s="53">
        <v>-154.76</v>
      </c>
      <c r="J120" s="53">
        <v>97.17</v>
      </c>
      <c r="K120" s="52"/>
      <c r="L120" s="53">
        <v>1.08</v>
      </c>
      <c r="M120" s="52"/>
      <c r="N120" s="52"/>
      <c r="O120" s="52"/>
      <c r="P120" s="52"/>
      <c r="Q120" s="52"/>
      <c r="R120" s="52"/>
      <c r="S120" s="52"/>
      <c r="T120" s="53">
        <v>3585.0</v>
      </c>
      <c r="U120" s="52"/>
      <c r="V120" s="53">
        <v>5312.9</v>
      </c>
      <c r="W120" s="52"/>
      <c r="X120" s="52"/>
      <c r="Y120" s="52"/>
      <c r="Z120" s="53">
        <v>57.61</v>
      </c>
      <c r="AA120" s="52"/>
      <c r="AB120" s="52"/>
      <c r="AC120" s="52"/>
      <c r="AD120" s="53">
        <v>87.51</v>
      </c>
      <c r="AE120" s="52"/>
      <c r="AF120" s="52"/>
      <c r="AG120" s="52"/>
      <c r="AH120" s="52"/>
      <c r="AI120" s="52"/>
      <c r="AJ120" s="52"/>
      <c r="AK120" s="52"/>
      <c r="AL120" s="53">
        <f>B120+C120+D120+E120+F120+G120+H120+I120+J120+K120+L120+M120+N120+O120+P120+Q120+R120+S120+T120+U120+V120+W120+X120+Y120+Z120+AA120+AB120+AC120+AD120+AE120+AF120+AG120+AH120+AI120+AJ120+AK120</f>
        <v>9060.31</v>
      </c>
    </row>
    <row r="121" spans="1:38" ht="16">
      <c r="A121" s="47" t="s">
        <v>118</v>
      </c>
      <c r="B121" s="54">
        <f>B75+B78+B81+B82+B83+B87+B96+B97+B104+B110+B114+B118+B119+B120</f>
        <v>2691.6</v>
      </c>
      <c r="C121" s="54">
        <f>C75+C78+C81+C82+C83+C87+C96+C97+C104+C110+C114+C118+C119+C120</f>
        <v>4787.08</v>
      </c>
      <c r="D121" s="54">
        <f>D75+D78+D81+D82+D83+D87+D96+D97+D104+D110+D114+D118+D119+D120</f>
        <v>17333.43</v>
      </c>
      <c r="E121" s="54">
        <f>E75+E78+E81+E82+E83+E87+E96+E97+E104+E110+E114+E118+E119+E120</f>
        <v>7046.82</v>
      </c>
      <c r="F121" s="54">
        <f>F75+F78+F81+F82+F83+F87+F96+F97+F104+F110+F114+F118+F119+F120</f>
        <v>2617.89</v>
      </c>
      <c r="G121" s="54">
        <f>G75+G78+G81+G82+G83+G87+G96+G97+G104+G110+G114+G118+G119+G120</f>
        <v>7584.25</v>
      </c>
      <c r="H121" s="54">
        <f>H75+H78+H81+H82+H83+H87+H96+H97+H104+H110+H114+H118+H119+H120</f>
        <v>1440.7199999999998</v>
      </c>
      <c r="I121" s="54">
        <f>I75+I78+I81+I82+I83+I87+I96+I97+I104+I110+I114+I118+I119+I120</f>
        <v>6875.16</v>
      </c>
      <c r="J121" s="54">
        <f>J75+J78+J81+J82+J83+J87+J96+J97+J104+J110+J114+J118+J119+J120</f>
        <v>6137.3</v>
      </c>
      <c r="K121" s="54">
        <f>K75+K78+K81+K82+K83+K87+K96+K97+K104+K110+K114+K118+K119+K120</f>
        <v>7129.400000000001</v>
      </c>
      <c r="L121" s="54">
        <f>L75+L78+L81+L82+L83+L87+L96+L97+L104+L110+L114+L118+L119+L120</f>
        <v>3375.11</v>
      </c>
      <c r="M121" s="54">
        <f>M75+M78+M81+M82+M83+M87+M96+M97+M104+M110+M114+M118+M119+M120</f>
        <v>5642.87</v>
      </c>
      <c r="N121" s="54">
        <f>N75+N78+N81+N82+N83+N87+N96+N97+N104+N110+N114+N118+N119+N120</f>
        <v>3288.05</v>
      </c>
      <c r="O121" s="54">
        <f>O75+O78+O81+O82+O83+O87+O96+O97+O104+O110+O114+O118+O119+O120</f>
        <v>9321.23</v>
      </c>
      <c r="P121" s="54">
        <f>P75+P78+P81+P82+P83+P87+P96+P97+P104+P110+P114+P118+P119+P120</f>
        <v>3940.12</v>
      </c>
      <c r="Q121" s="54">
        <f>Q75+Q78+Q81+Q82+Q83+Q87+Q96+Q97+Q104+Q110+Q114+Q118+Q119+Q120</f>
        <v>8863.11</v>
      </c>
      <c r="R121" s="54">
        <f>R75+R78+R81+R82+R83+R87+R96+R97+R104+R110+R114+R118+R119+R120</f>
        <v>8553.279999999999</v>
      </c>
      <c r="S121" s="54">
        <f>S75+S78+S81+S82+S83+S87+S96+S97+S104+S110+S114+S118+S119+S120</f>
        <v>6782.36</v>
      </c>
      <c r="T121" s="54">
        <f>T75+T78+T81+T82+T83+T87+T96+T97+T104+T110+T114+T118+T119+T120</f>
        <v>8422.98</v>
      </c>
      <c r="U121" s="54">
        <f>U75+U78+U81+U82+U83+U87+U96+U97+U104+U110+U114+U118+U119+U120</f>
        <v>12653.13</v>
      </c>
      <c r="V121" s="54">
        <f>V75+V78+V81+V82+V83+V87+V96+V97+V104+V110+V114+V118+V119+V120</f>
        <v>11106.04</v>
      </c>
      <c r="W121" s="54">
        <f>W75+W78+W81+W82+W83+W87+W96+W97+W104+W110+W114+W118+W119+W120</f>
        <v>3111.34</v>
      </c>
      <c r="X121" s="54">
        <f>X75+X78+X81+X82+X83+X87+X96+X97+X104+X110+X114+X118+X119+X120</f>
        <v>5135.65</v>
      </c>
      <c r="Y121" s="54">
        <f>Y75+Y78+Y81+Y82+Y83+Y87+Y96+Y97+Y104+Y110+Y114+Y118+Y119+Y120</f>
        <v>9807.49</v>
      </c>
      <c r="Z121" s="54">
        <f>Z75+Z78+Z81+Z82+Z83+Z87+Z96+Z97+Z104+Z110+Z114+Z118+Z119+Z120</f>
        <v>5927.909999999999</v>
      </c>
      <c r="AA121" s="54">
        <f>AA75+AA78+AA81+AA82+AA83+AA87+AA96+AA97+AA104+AA110+AA114+AA118+AA119+AA120</f>
        <v>7171.919999999999</v>
      </c>
      <c r="AB121" s="54">
        <f>AB75+AB78+AB81+AB82+AB83+AB87+AB96+AB97+AB104+AB110+AB114+AB118+AB119+AB120</f>
        <v>7785.619999999999</v>
      </c>
      <c r="AC121" s="54">
        <f>AC75+AC78+AC81+AC82+AC83+AC87+AC96+AC97+AC104+AC110+AC114+AC118+AC119+AC120</f>
        <v>9350.189999999999</v>
      </c>
      <c r="AD121" s="54">
        <f>AD75+AD78+AD81+AD82+AD83+AD87+AD96+AD97+AD104+AD110+AD114+AD118+AD119+AD120</f>
        <v>4624.700000000001</v>
      </c>
      <c r="AE121" s="54">
        <f>AE75+AE78+AE81+AE82+AE83+AE87+AE96+AE97+AE104+AE110+AE114+AE118+AE119+AE120</f>
        <v>5405.95</v>
      </c>
      <c r="AF121" s="54">
        <f>AF75+AF78+AF81+AF82+AF83+AF87+AF96+AF97+AF104+AF110+AF114+AF118+AF119+AF120</f>
        <v>6261.469999999999</v>
      </c>
      <c r="AG121" s="54">
        <f>AG75+AG78+AG81+AG82+AG83+AG87+AG96+AG97+AG104+AG110+AG114+AG118+AG119+AG120</f>
        <v>6813.869999999999</v>
      </c>
      <c r="AH121" s="54">
        <f>AH75+AH78+AH81+AH82+AH83+AH87+AH96+AH97+AH104+AH110+AH114+AH118+AH119+AH120</f>
        <v>4109.91</v>
      </c>
      <c r="AI121" s="54">
        <f>AI75+AI78+AI81+AI82+AI83+AI87+AI96+AI97+AI104+AI110+AI114+AI118+AI119+AI120</f>
        <v>5844.67</v>
      </c>
      <c r="AJ121" s="54">
        <f>AJ75+AJ78+AJ81+AJ82+AJ83+AJ87+AJ96+AJ97+AJ104+AJ110+AJ114+AJ118+AJ119+AJ120</f>
        <v>2823.46</v>
      </c>
      <c r="AK121" s="54">
        <f>AK75+AK78+AK81+AK82+AK83+AK87+AK96+AK97+AK104+AK110+AK114+AK118+AK119+AK120</f>
        <v>893.8199999999999</v>
      </c>
      <c r="AL121" s="55">
        <f>B121+C121+D121+E121+F121+G121+H121+I121+J121+K121+L121+M121+N121+O121+P121+Q121+R121+S121+T121+U121+V121+W121+X121+Y121+Z121+AA121+AB121+AC121+AD121+AE121+AF121+AG121+AH121+AI121+AJ121+AK121</f>
        <v>230659.90000000002</v>
      </c>
    </row>
    <row r="122" spans="1:38" ht="16">
      <c r="A122" s="48" t="s">
        <v>119</v>
      </c>
      <c r="B122" s="54">
        <f>B67+B74+B121</f>
        <v>3153.25</v>
      </c>
      <c r="C122" s="54">
        <f>C67+C74+C121</f>
        <v>4787.08</v>
      </c>
      <c r="D122" s="54">
        <f>D67+D74+D121</f>
        <v>18920.83</v>
      </c>
      <c r="E122" s="54">
        <f>E67+E74+E121</f>
        <v>7171.82</v>
      </c>
      <c r="F122" s="54">
        <f>F67+F74+F121</f>
        <v>3116.49</v>
      </c>
      <c r="G122" s="54">
        <f>G67+G74+G121</f>
        <v>7584.25</v>
      </c>
      <c r="H122" s="54">
        <f>H67+H74+H121</f>
        <v>1440.7199999999998</v>
      </c>
      <c r="I122" s="54">
        <f>I67+I74+I121</f>
        <v>8402.36</v>
      </c>
      <c r="J122" s="54">
        <f>J67+J74+J121</f>
        <v>6262.3</v>
      </c>
      <c r="K122" s="54">
        <f>K67+K74+K121</f>
        <v>7574.030000000001</v>
      </c>
      <c r="L122" s="54">
        <f>L67+L74+L121</f>
        <v>3375.11</v>
      </c>
      <c r="M122" s="54">
        <f>M67+M74+M121</f>
        <v>6167.62</v>
      </c>
      <c r="N122" s="54">
        <f>N67+N74+N121</f>
        <v>3413.05</v>
      </c>
      <c r="O122" s="54">
        <f>O67+O74+O121</f>
        <v>9788.05</v>
      </c>
      <c r="P122" s="54">
        <f>P67+P74+P121</f>
        <v>3940.12</v>
      </c>
      <c r="Q122" s="54">
        <f>Q67+Q74+Q121</f>
        <v>10475.26</v>
      </c>
      <c r="R122" s="54">
        <f>R67+R74+R121</f>
        <v>8898.48</v>
      </c>
      <c r="S122" s="54">
        <f>S67+S74+S121</f>
        <v>7442.69</v>
      </c>
      <c r="T122" s="54">
        <f>T67+T74+T121</f>
        <v>9297.98</v>
      </c>
      <c r="U122" s="54">
        <f>U67+U74+U121</f>
        <v>13702.88</v>
      </c>
      <c r="V122" s="54">
        <f>V67+V74+V121</f>
        <v>11631.04</v>
      </c>
      <c r="W122" s="54">
        <f>W67+W74+W121</f>
        <v>3236.34</v>
      </c>
      <c r="X122" s="54">
        <f>X67+X74+X121</f>
        <v>5618.79</v>
      </c>
      <c r="Y122" s="54">
        <f>Y67+Y74+Y121</f>
        <v>9807.49</v>
      </c>
      <c r="Z122" s="54">
        <f>Z67+Z74+Z121</f>
        <v>6427.909999999999</v>
      </c>
      <c r="AA122" s="54">
        <f>AA67+AA74+AA121</f>
        <v>7541.119999999999</v>
      </c>
      <c r="AB122" s="54">
        <f>AB67+AB74+AB121</f>
        <v>8223.529999999999</v>
      </c>
      <c r="AC122" s="54">
        <f>AC67+AC74+AC121</f>
        <v>9526.14</v>
      </c>
      <c r="AD122" s="54">
        <f>AD67+AD74+AD121</f>
        <v>5124.700000000001</v>
      </c>
      <c r="AE122" s="54">
        <f>AE67+AE74+AE121</f>
        <v>5530.95</v>
      </c>
      <c r="AF122" s="54">
        <f>AF67+AF74+AF121</f>
        <v>6718.2699999999995</v>
      </c>
      <c r="AG122" s="54">
        <f>AG67+AG74+AG121</f>
        <v>6813.869999999999</v>
      </c>
      <c r="AH122" s="54">
        <f>AH67+AH74+AH121</f>
        <v>4109.91</v>
      </c>
      <c r="AI122" s="54">
        <f>AI67+AI74+AI121</f>
        <v>6344.67</v>
      </c>
      <c r="AJ122" s="54">
        <f>AJ67+AJ74+AJ121</f>
        <v>2823.46</v>
      </c>
      <c r="AK122" s="54">
        <f>AK67+AK74+AK121</f>
        <v>893.8199999999999</v>
      </c>
      <c r="AL122" s="55">
        <f>B122+C122+D122+E122+F122+G122+H122+I122+J122+K122+L122+M122+N122+O122+P122+Q122+R122+S122+T122+U122+V122+W122+X122+Y122+Z122+AA122+AB122+AC122+AD122+AE122+AF122+AG122+AH122+AI122+AJ122+AK122</f>
        <v>245286.38</v>
      </c>
    </row>
    <row r="123" spans="1:38" ht="16">
      <c r="A123" s="48" t="s">
        <v>120</v>
      </c>
      <c r="B123" s="54">
        <f>B66-B122</f>
        <v>13974.54</v>
      </c>
      <c r="C123" s="54">
        <f>C66-C122</f>
        <v>5552.08</v>
      </c>
      <c r="D123" s="54">
        <f>D66-D122</f>
        <v>-990.0400000000009</v>
      </c>
      <c r="E123" s="54">
        <f>E66-E122</f>
        <v>26196.620000000003</v>
      </c>
      <c r="F123" s="54">
        <f>F66-F122</f>
        <v>-18430.829999999994</v>
      </c>
      <c r="G123" s="54">
        <f>G66-G122</f>
        <v>6651.259999999998</v>
      </c>
      <c r="H123" s="54">
        <f>H66-H122</f>
        <v>34017.12999999999</v>
      </c>
      <c r="I123" s="54">
        <f>I66-I122</f>
        <v>9083.89</v>
      </c>
      <c r="J123" s="54">
        <f>J66-J122</f>
        <v>-5742.62</v>
      </c>
      <c r="K123" s="54">
        <f>K66-K122</f>
        <v>15454.929999999998</v>
      </c>
      <c r="L123" s="54">
        <f>L66-L122</f>
        <v>4305.889999999999</v>
      </c>
      <c r="M123" s="54">
        <f>M66-M122</f>
        <v>11988.170000000002</v>
      </c>
      <c r="N123" s="54">
        <f>N66-N122</f>
        <v>-4434.510000000003</v>
      </c>
      <c r="O123" s="54">
        <f>O66-O122</f>
        <v>34419.40000000001</v>
      </c>
      <c r="P123" s="54">
        <f>P66-P122</f>
        <v>6336.689999999998</v>
      </c>
      <c r="Q123" s="54">
        <f>Q66-Q122</f>
        <v>4366.65</v>
      </c>
      <c r="R123" s="54">
        <f>R66-R122</f>
        <v>-13947.829999999994</v>
      </c>
      <c r="S123" s="54">
        <f>S66-S122</f>
        <v>10066.850000000002</v>
      </c>
      <c r="T123" s="54">
        <f>T66-T122</f>
        <v>-20221.160000000003</v>
      </c>
      <c r="U123" s="54">
        <f>U66-U122</f>
        <v>25343.54</v>
      </c>
      <c r="V123" s="54">
        <f>V66-V122</f>
        <v>-19133.989999999998</v>
      </c>
      <c r="W123" s="54">
        <f>W66-W122</f>
        <v>33944.23000000001</v>
      </c>
      <c r="X123" s="54">
        <f>X66-X122</f>
        <v>-15655.490000000002</v>
      </c>
      <c r="Y123" s="54">
        <f>Y66-Y122</f>
        <v>17554.46</v>
      </c>
      <c r="Z123" s="54">
        <f>Z66-Z122</f>
        <v>-4689.630000000004</v>
      </c>
      <c r="AA123" s="54">
        <f>AA66-AA122</f>
        <v>32826.20000000001</v>
      </c>
      <c r="AB123" s="54">
        <f>AB66-AB122</f>
        <v>-1748.6199999999953</v>
      </c>
      <c r="AC123" s="54">
        <f>AC66-AC122</f>
        <v>19082.33</v>
      </c>
      <c r="AD123" s="54">
        <f>AD66-AD122</f>
        <v>-9428.59</v>
      </c>
      <c r="AE123" s="54">
        <f>AE66-AE122</f>
        <v>6464.400000000002</v>
      </c>
      <c r="AF123" s="54">
        <f>AF66-AF122</f>
        <v>807.8599999999979</v>
      </c>
      <c r="AG123" s="54">
        <f>AG66-AG122</f>
        <v>18137.600000000002</v>
      </c>
      <c r="AH123" s="54">
        <f>AH66-AH122</f>
        <v>-23346.89</v>
      </c>
      <c r="AI123" s="54">
        <f>AI66-AI122</f>
        <v>17295.940000000002</v>
      </c>
      <c r="AJ123" s="54">
        <f>AJ66-AJ122</f>
        <v>-11842.04</v>
      </c>
      <c r="AK123" s="54">
        <f>AK66-AK122</f>
        <v>-2600.7299999999996</v>
      </c>
      <c r="AL123" s="55">
        <f>B123+C123+D123+E123+F123+G123+H123+I123+J123+K123+L123+M123+N123+O123+P123+Q123+R123+S123+T123+U123+V123+W123+X123+Y123+Z123+AA123+AB123+AC123+AD123+AE123+AF123+AG123+AH123+AI123+AJ123+AK123</f>
        <v>201657.69</v>
      </c>
    </row>
    <row r="124" spans="1:37" ht="16">
      <c r="A124" s="40" t="s">
        <v>121</v>
      </c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  <c r="AE124" s="52"/>
      <c r="AF124" s="52"/>
      <c r="AG124" s="52"/>
      <c r="AH124" s="52"/>
      <c r="AI124" s="52"/>
      <c r="AJ124" s="52"/>
      <c r="AK124" s="52"/>
    </row>
    <row r="125" spans="1:38" ht="16">
      <c r="A125" s="41" t="s">
        <v>122</v>
      </c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  <c r="AF125" s="52"/>
      <c r="AG125" s="52"/>
      <c r="AH125" s="52"/>
      <c r="AI125" s="52"/>
      <c r="AJ125" s="52"/>
      <c r="AK125" s="52"/>
      <c r="AL125" s="52"/>
    </row>
    <row r="126" spans="1:38" ht="16">
      <c r="A126" s="42" t="s">
        <v>123</v>
      </c>
      <c r="B126" s="53">
        <v>27.59</v>
      </c>
      <c r="C126" s="52"/>
      <c r="D126" s="52"/>
      <c r="E126" s="52"/>
      <c r="F126" s="52"/>
      <c r="G126" s="53">
        <v>14.9</v>
      </c>
      <c r="H126" s="52"/>
      <c r="I126" s="52"/>
      <c r="J126" s="53">
        <v>15.02</v>
      </c>
      <c r="K126" s="52"/>
      <c r="L126" s="52"/>
      <c r="M126" s="52"/>
      <c r="N126" s="52"/>
      <c r="O126" s="53">
        <v>16.98</v>
      </c>
      <c r="P126" s="52"/>
      <c r="Q126" s="52"/>
      <c r="R126" s="52"/>
      <c r="S126" s="53">
        <v>17.14</v>
      </c>
      <c r="T126" s="52"/>
      <c r="U126" s="52"/>
      <c r="V126" s="52"/>
      <c r="W126" s="52"/>
      <c r="X126" s="53">
        <v>12.38</v>
      </c>
      <c r="Y126" s="52"/>
      <c r="Z126" s="52"/>
      <c r="AA126" s="52"/>
      <c r="AB126" s="53">
        <v>6.64</v>
      </c>
      <c r="AC126" s="52"/>
      <c r="AD126" s="52"/>
      <c r="AE126" s="52"/>
      <c r="AF126" s="53">
        <v>7.48</v>
      </c>
      <c r="AG126" s="52"/>
      <c r="AH126" s="52"/>
      <c r="AI126" s="52"/>
      <c r="AJ126" s="52"/>
      <c r="AK126" s="52"/>
      <c r="AL126" s="53">
        <f>B126+C126+D126+E126+F126+G126+H126+I126+J126+K126+L126+M126+N126+O126+P126+Q126+R126+S126+T126+U126+V126+W126+X126+Y126+Z126+AA126+AB126+AC126+AD126+AE126+AF126+AG126+AH126+AI126+AJ126+AK126</f>
        <v>118.13000000000001</v>
      </c>
    </row>
    <row r="127" spans="1:38" ht="16">
      <c r="A127" s="42" t="s">
        <v>124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3">
        <v>11613.05</v>
      </c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  <c r="AF127" s="52"/>
      <c r="AG127" s="52"/>
      <c r="AH127" s="52"/>
      <c r="AI127" s="52"/>
      <c r="AJ127" s="52"/>
      <c r="AK127" s="52"/>
      <c r="AL127" s="53">
        <f>B127+C127+D127+E127+F127+G127+H127+I127+J127+K127+L127+M127+N127+O127+P127+Q127+R127+S127+T127+U127+V127+W127+X127+Y127+Z127+AA127+AB127+AC127+AD127+AE127+AF127+AG127+AH127+AI127+AJ127+AK127</f>
        <v>11613.05</v>
      </c>
    </row>
    <row r="128" spans="1:38" ht="16">
      <c r="A128" s="47" t="s">
        <v>125</v>
      </c>
      <c r="B128" s="54">
        <f>B125+B126+B127</f>
        <v>27.59</v>
      </c>
      <c r="C128" s="55">
        <f>C125+C126+C127</f>
        <v>0.0</v>
      </c>
      <c r="D128" s="55">
        <f>D125+D126+D127</f>
        <v>0.0</v>
      </c>
      <c r="E128" s="55">
        <f>E125+E126+E127</f>
        <v>0.0</v>
      </c>
      <c r="F128" s="55">
        <f>F125+F126+F127</f>
        <v>0.0</v>
      </c>
      <c r="G128" s="54">
        <f>G125+G126+G127</f>
        <v>14.9</v>
      </c>
      <c r="H128" s="55">
        <f>H125+H126+H127</f>
        <v>0.0</v>
      </c>
      <c r="I128" s="55">
        <f>I125+I126+I127</f>
        <v>0.0</v>
      </c>
      <c r="J128" s="54">
        <f>J125+J126+J127</f>
        <v>15.02</v>
      </c>
      <c r="K128" s="55">
        <f>K125+K126+K127</f>
        <v>0.0</v>
      </c>
      <c r="L128" s="55">
        <f>L125+L126+L127</f>
        <v>0.0</v>
      </c>
      <c r="M128" s="55">
        <f>M125+M126+M127</f>
        <v>0.0</v>
      </c>
      <c r="N128" s="55">
        <f>N125+N126+N127</f>
        <v>0.0</v>
      </c>
      <c r="O128" s="54">
        <f>O125+O126+O127</f>
        <v>16.98</v>
      </c>
      <c r="P128" s="55">
        <f>P125+P126+P127</f>
        <v>0.0</v>
      </c>
      <c r="Q128" s="54">
        <f>Q125+Q126+Q127</f>
        <v>11613.05</v>
      </c>
      <c r="R128" s="55">
        <f>R125+R126+R127</f>
        <v>0.0</v>
      </c>
      <c r="S128" s="54">
        <f>S125+S126+S127</f>
        <v>17.14</v>
      </c>
      <c r="T128" s="55">
        <f>T125+T126+T127</f>
        <v>0.0</v>
      </c>
      <c r="U128" s="55">
        <f>U125+U126+U127</f>
        <v>0.0</v>
      </c>
      <c r="V128" s="55">
        <f>V125+V126+V127</f>
        <v>0.0</v>
      </c>
      <c r="W128" s="55">
        <f>W125+W126+W127</f>
        <v>0.0</v>
      </c>
      <c r="X128" s="54">
        <f>X125+X126+X127</f>
        <v>12.38</v>
      </c>
      <c r="Y128" s="55">
        <f>Y125+Y126+Y127</f>
        <v>0.0</v>
      </c>
      <c r="Z128" s="55">
        <f>Z125+Z126+Z127</f>
        <v>0.0</v>
      </c>
      <c r="AA128" s="55">
        <f>AA125+AA126+AA127</f>
        <v>0.0</v>
      </c>
      <c r="AB128" s="54">
        <f>AB125+AB126+AB127</f>
        <v>6.64</v>
      </c>
      <c r="AC128" s="55">
        <f>AC125+AC126+AC127</f>
        <v>0.0</v>
      </c>
      <c r="AD128" s="55">
        <f>AD125+AD126+AD127</f>
        <v>0.0</v>
      </c>
      <c r="AE128" s="55">
        <f>AE125+AE126+AE127</f>
        <v>0.0</v>
      </c>
      <c r="AF128" s="54">
        <f>AF125+AF126+AF127</f>
        <v>7.48</v>
      </c>
      <c r="AG128" s="55">
        <f>AG125+AG126+AG127</f>
        <v>0.0</v>
      </c>
      <c r="AH128" s="55">
        <f>AH125+AH126+AH127</f>
        <v>0.0</v>
      </c>
      <c r="AI128" s="55">
        <f>AI125+AI126+AI127</f>
        <v>0.0</v>
      </c>
      <c r="AJ128" s="55">
        <f>AJ125+AJ126+AJ127</f>
        <v>0.0</v>
      </c>
      <c r="AK128" s="55">
        <f>AK125+AK126+AK127</f>
        <v>0.0</v>
      </c>
      <c r="AL128" s="55">
        <f>B128+C128+D128+E128+F128+G128+H128+I128+J128+K128+L128+M128+N128+O128+P128+Q128+R128+S128+T128+U128+V128+W128+X128+Y128+Z128+AA128+AB128+AC128+AD128+AE128+AF128+AG128+AH128+AI128+AJ128+AK128</f>
        <v>11731.179999999997</v>
      </c>
    </row>
    <row r="129" spans="1:38" ht="16">
      <c r="A129" s="48" t="s">
        <v>126</v>
      </c>
      <c r="B129" s="54">
        <f>B124+B128</f>
        <v>27.59</v>
      </c>
      <c r="C129" s="55">
        <f>C124+C128</f>
        <v>0.0</v>
      </c>
      <c r="D129" s="55">
        <f>D124+D128</f>
        <v>0.0</v>
      </c>
      <c r="E129" s="55">
        <f>E124+E128</f>
        <v>0.0</v>
      </c>
      <c r="F129" s="55">
        <f>F124+F128</f>
        <v>0.0</v>
      </c>
      <c r="G129" s="54">
        <f>G124+G128</f>
        <v>14.9</v>
      </c>
      <c r="H129" s="55">
        <f>H124+H128</f>
        <v>0.0</v>
      </c>
      <c r="I129" s="55">
        <f>I124+I128</f>
        <v>0.0</v>
      </c>
      <c r="J129" s="54">
        <f>J124+J128</f>
        <v>15.02</v>
      </c>
      <c r="K129" s="55">
        <f>K124+K128</f>
        <v>0.0</v>
      </c>
      <c r="L129" s="55">
        <f>L124+L128</f>
        <v>0.0</v>
      </c>
      <c r="M129" s="55">
        <f>M124+M128</f>
        <v>0.0</v>
      </c>
      <c r="N129" s="55">
        <f>N124+N128</f>
        <v>0.0</v>
      </c>
      <c r="O129" s="54">
        <f>O124+O128</f>
        <v>16.98</v>
      </c>
      <c r="P129" s="55">
        <f>P124+P128</f>
        <v>0.0</v>
      </c>
      <c r="Q129" s="54">
        <f>Q124+Q128</f>
        <v>11613.05</v>
      </c>
      <c r="R129" s="55">
        <f>R124+R128</f>
        <v>0.0</v>
      </c>
      <c r="S129" s="54">
        <f>S124+S128</f>
        <v>17.14</v>
      </c>
      <c r="T129" s="55">
        <f>T124+T128</f>
        <v>0.0</v>
      </c>
      <c r="U129" s="55">
        <f>U124+U128</f>
        <v>0.0</v>
      </c>
      <c r="V129" s="55">
        <f>V124+V128</f>
        <v>0.0</v>
      </c>
      <c r="W129" s="55">
        <f>W124+W128</f>
        <v>0.0</v>
      </c>
      <c r="X129" s="54">
        <f>X124+X128</f>
        <v>12.38</v>
      </c>
      <c r="Y129" s="55">
        <f>Y124+Y128</f>
        <v>0.0</v>
      </c>
      <c r="Z129" s="55">
        <f>Z124+Z128</f>
        <v>0.0</v>
      </c>
      <c r="AA129" s="55">
        <f>AA124+AA128</f>
        <v>0.0</v>
      </c>
      <c r="AB129" s="54">
        <f>AB124+AB128</f>
        <v>6.64</v>
      </c>
      <c r="AC129" s="55">
        <f>AC124+AC128</f>
        <v>0.0</v>
      </c>
      <c r="AD129" s="55">
        <f>AD124+AD128</f>
        <v>0.0</v>
      </c>
      <c r="AE129" s="55">
        <f>AE124+AE128</f>
        <v>0.0</v>
      </c>
      <c r="AF129" s="54">
        <f>AF124+AF128</f>
        <v>7.48</v>
      </c>
      <c r="AG129" s="55">
        <f>AG124+AG128</f>
        <v>0.0</v>
      </c>
      <c r="AH129" s="55">
        <f>AH124+AH128</f>
        <v>0.0</v>
      </c>
      <c r="AI129" s="55">
        <f>AI124+AI128</f>
        <v>0.0</v>
      </c>
      <c r="AJ129" s="55">
        <f>AJ124+AJ128</f>
        <v>0.0</v>
      </c>
      <c r="AK129" s="55">
        <f>AK124+AK128</f>
        <v>0.0</v>
      </c>
      <c r="AL129" s="55">
        <f>B129+C129+D129+E129+F129+G129+H129+I129+J129+K129+L129+M129+N129+O129+P129+Q129+R129+S129+T129+U129+V129+W129+X129+Y129+Z129+AA129+AB129+AC129+AD129+AE129+AF129+AG129+AH129+AI129+AJ129+AK129</f>
        <v>11731.179999999997</v>
      </c>
    </row>
    <row r="130" spans="1:37" ht="16">
      <c r="A130" s="40" t="s">
        <v>127</v>
      </c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H130" s="52"/>
      <c r="AI130" s="52"/>
      <c r="AJ130" s="52"/>
      <c r="AK130" s="52"/>
    </row>
    <row r="131" spans="1:38" ht="16">
      <c r="A131" s="41" t="s">
        <v>128</v>
      </c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  <c r="AH131" s="52"/>
      <c r="AI131" s="52"/>
      <c r="AJ131" s="52"/>
      <c r="AK131" s="52"/>
      <c r="AL131" s="52"/>
    </row>
    <row r="132" spans="1:38" ht="16">
      <c r="A132" s="42" t="s">
        <v>129</v>
      </c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52"/>
      <c r="AG132" s="52"/>
      <c r="AH132" s="52"/>
      <c r="AI132" s="52"/>
      <c r="AJ132" s="52"/>
      <c r="AK132" s="52"/>
      <c r="AL132" s="52"/>
    </row>
    <row r="133" spans="1:38" ht="16">
      <c r="A133" s="43" t="s">
        <v>130</v>
      </c>
      <c r="B133" s="52"/>
      <c r="C133" s="52"/>
      <c r="D133" s="53">
        <v>4230.77</v>
      </c>
      <c r="E133" s="52"/>
      <c r="F133" s="53">
        <v>4230.77</v>
      </c>
      <c r="G133" s="52"/>
      <c r="H133" s="53">
        <v>4230.77</v>
      </c>
      <c r="I133" s="52"/>
      <c r="J133" s="53">
        <v>4230.77</v>
      </c>
      <c r="K133" s="52"/>
      <c r="L133" s="53">
        <v>4230.77</v>
      </c>
      <c r="M133" s="53">
        <v>197.37</v>
      </c>
      <c r="N133" s="53">
        <v>4230.77</v>
      </c>
      <c r="O133" s="52"/>
      <c r="P133" s="53">
        <v>4230.77</v>
      </c>
      <c r="Q133" s="52"/>
      <c r="R133" s="53">
        <v>4160.11</v>
      </c>
      <c r="S133" s="52"/>
      <c r="T133" s="53">
        <v>4230.77</v>
      </c>
      <c r="U133" s="52"/>
      <c r="V133" s="53">
        <v>4230.77</v>
      </c>
      <c r="W133" s="52"/>
      <c r="X133" s="53">
        <v>4230.77</v>
      </c>
      <c r="Y133" s="52"/>
      <c r="Z133" s="53">
        <v>4830.77</v>
      </c>
      <c r="AA133" s="52"/>
      <c r="AB133" s="53">
        <v>4230.77</v>
      </c>
      <c r="AC133" s="52"/>
      <c r="AD133" s="53">
        <v>5355.77</v>
      </c>
      <c r="AE133" s="52"/>
      <c r="AF133" s="53">
        <v>4230.77</v>
      </c>
      <c r="AG133" s="52"/>
      <c r="AH133" s="53">
        <v>4230.77</v>
      </c>
      <c r="AI133" s="52"/>
      <c r="AJ133" s="53">
        <v>3030.77</v>
      </c>
      <c r="AK133" s="52"/>
      <c r="AL133" s="53">
        <f>B133+C133+D133+E133+F133+G133+H133+I133+J133+K133+L133+M133+N133+O133+P133+Q133+R133+S133+T133+U133+V133+W133+X133+Y133+Z133+AA133+AB133+AC133+AD133+AE133+AF133+AG133+AH133+AI133+AJ133+AK133</f>
        <v>72574.80000000003</v>
      </c>
    </row>
    <row r="134" spans="1:38" ht="16">
      <c r="A134" s="43" t="s">
        <v>131</v>
      </c>
      <c r="B134" s="52"/>
      <c r="C134" s="52"/>
      <c r="D134" s="53">
        <v>332.97</v>
      </c>
      <c r="E134" s="52"/>
      <c r="F134" s="53">
        <v>304.72</v>
      </c>
      <c r="G134" s="52"/>
      <c r="H134" s="53">
        <v>300.71</v>
      </c>
      <c r="I134" s="52"/>
      <c r="J134" s="53">
        <v>300.71</v>
      </c>
      <c r="K134" s="52"/>
      <c r="L134" s="53">
        <v>300.71</v>
      </c>
      <c r="M134" s="52"/>
      <c r="N134" s="53">
        <v>300.71</v>
      </c>
      <c r="O134" s="52"/>
      <c r="P134" s="53">
        <v>300.71</v>
      </c>
      <c r="Q134" s="52"/>
      <c r="R134" s="53">
        <v>300.71</v>
      </c>
      <c r="S134" s="52"/>
      <c r="T134" s="53">
        <v>300.71</v>
      </c>
      <c r="U134" s="52"/>
      <c r="V134" s="53">
        <v>300.71</v>
      </c>
      <c r="W134" s="52"/>
      <c r="X134" s="53">
        <v>300.71</v>
      </c>
      <c r="Y134" s="52"/>
      <c r="Z134" s="53">
        <v>300.71</v>
      </c>
      <c r="AA134" s="52"/>
      <c r="AB134" s="53">
        <v>300.71</v>
      </c>
      <c r="AC134" s="52"/>
      <c r="AD134" s="53">
        <v>300.71</v>
      </c>
      <c r="AE134" s="52"/>
      <c r="AF134" s="53">
        <v>300.71</v>
      </c>
      <c r="AG134" s="52"/>
      <c r="AH134" s="53">
        <v>300.71</v>
      </c>
      <c r="AI134" s="52"/>
      <c r="AJ134" s="53">
        <v>208.91</v>
      </c>
      <c r="AK134" s="52"/>
      <c r="AL134" s="53">
        <f>B134+C134+D134+E134+F134+G134+H134+I134+J134+K134+L134+M134+N134+O134+P134+Q134+R134+S134+T134+U134+V134+W134+X134+Y134+Z134+AA134+AB134+AC134+AD134+AE134+AF134+AG134+AH134+AI134+AJ134+AK134</f>
        <v>5056.54</v>
      </c>
    </row>
    <row r="135" spans="1:38" ht="16">
      <c r="A135" s="43" t="s">
        <v>132</v>
      </c>
      <c r="B135" s="52"/>
      <c r="C135" s="52"/>
      <c r="D135" s="52"/>
      <c r="E135" s="53">
        <v>36.58</v>
      </c>
      <c r="F135" s="52"/>
      <c r="G135" s="52"/>
      <c r="H135" s="52"/>
      <c r="I135" s="53">
        <v>36.58</v>
      </c>
      <c r="J135" s="52"/>
      <c r="K135" s="52"/>
      <c r="L135" s="52"/>
      <c r="M135" s="53">
        <v>36.58</v>
      </c>
      <c r="N135" s="52"/>
      <c r="O135" s="52"/>
      <c r="P135" s="52"/>
      <c r="Q135" s="53">
        <v>36.58</v>
      </c>
      <c r="R135" s="52"/>
      <c r="S135" s="52"/>
      <c r="T135" s="52"/>
      <c r="U135" s="52"/>
      <c r="V135" s="52"/>
      <c r="W135" s="52"/>
      <c r="X135" s="52"/>
      <c r="Y135" s="52"/>
      <c r="Z135" s="53">
        <v>36.58</v>
      </c>
      <c r="AA135" s="52"/>
      <c r="AB135" s="52"/>
      <c r="AC135" s="52"/>
      <c r="AD135" s="53">
        <v>36.58</v>
      </c>
      <c r="AE135" s="52"/>
      <c r="AF135" s="52"/>
      <c r="AG135" s="52"/>
      <c r="AH135" s="52"/>
      <c r="AI135" s="53">
        <v>36.58</v>
      </c>
      <c r="AJ135" s="52"/>
      <c r="AK135" s="52"/>
      <c r="AL135" s="53">
        <f>B135+C135+D135+E135+F135+G135+H135+I135+J135+K135+L135+M135+N135+O135+P135+Q135+R135+S135+T135+U135+V135+W135+X135+Y135+Z135+AA135+AB135+AC135+AD135+AE135+AF135+AG135+AH135+AI135+AJ135+AK135</f>
        <v>256.05999999999995</v>
      </c>
    </row>
    <row r="136" spans="1:38" ht="16">
      <c r="A136" s="44" t="s">
        <v>133</v>
      </c>
      <c r="B136" s="55">
        <f>B132+B133+B134+B135</f>
        <v>0.0</v>
      </c>
      <c r="C136" s="55">
        <f>C132+C133+C134+C135</f>
        <v>0.0</v>
      </c>
      <c r="D136" s="54">
        <f>D132+D133+D134+D135</f>
        <v>4563.740000000001</v>
      </c>
      <c r="E136" s="54">
        <f>E132+E133+E134+E135</f>
        <v>36.58</v>
      </c>
      <c r="F136" s="54">
        <f>F132+F133+F134+F135</f>
        <v>4535.490000000001</v>
      </c>
      <c r="G136" s="55">
        <f>G132+G133+G134+G135</f>
        <v>0.0</v>
      </c>
      <c r="H136" s="54">
        <f>H132+H133+H134+H135</f>
        <v>4531.4800000000005</v>
      </c>
      <c r="I136" s="54">
        <f>I132+I133+I134+I135</f>
        <v>36.58</v>
      </c>
      <c r="J136" s="54">
        <f>J132+J133+J134+J135</f>
        <v>4531.4800000000005</v>
      </c>
      <c r="K136" s="55">
        <f>K132+K133+K134+K135</f>
        <v>0.0</v>
      </c>
      <c r="L136" s="54">
        <f>L132+L133+L134+L135</f>
        <v>4531.4800000000005</v>
      </c>
      <c r="M136" s="54">
        <f>M132+M133+M134+M135</f>
        <v>233.95</v>
      </c>
      <c r="N136" s="54">
        <f>N132+N133+N134+N135</f>
        <v>4531.4800000000005</v>
      </c>
      <c r="O136" s="55">
        <f>O132+O133+O134+O135</f>
        <v>0.0</v>
      </c>
      <c r="P136" s="54">
        <f>P132+P133+P134+P135</f>
        <v>4531.4800000000005</v>
      </c>
      <c r="Q136" s="54">
        <f>Q132+Q133+Q134+Q135</f>
        <v>36.58</v>
      </c>
      <c r="R136" s="54">
        <f>R132+R133+R134+R135</f>
        <v>4460.82</v>
      </c>
      <c r="S136" s="55">
        <f>S132+S133+S134+S135</f>
        <v>0.0</v>
      </c>
      <c r="T136" s="54">
        <f>T132+T133+T134+T135</f>
        <v>4531.4800000000005</v>
      </c>
      <c r="U136" s="55">
        <f>U132+U133+U134+U135</f>
        <v>0.0</v>
      </c>
      <c r="V136" s="54">
        <f>V132+V133+V134+V135</f>
        <v>4531.4800000000005</v>
      </c>
      <c r="W136" s="55">
        <f>W132+W133+W134+W135</f>
        <v>0.0</v>
      </c>
      <c r="X136" s="54">
        <f>X132+X133+X134+X135</f>
        <v>4531.4800000000005</v>
      </c>
      <c r="Y136" s="55">
        <f>Y132+Y133+Y134+Y135</f>
        <v>0.0</v>
      </c>
      <c r="Z136" s="54">
        <f>Z132+Z133+Z134+Z135</f>
        <v>5168.06</v>
      </c>
      <c r="AA136" s="55">
        <f>AA132+AA133+AA134+AA135</f>
        <v>0.0</v>
      </c>
      <c r="AB136" s="54">
        <f>AB132+AB133+AB134+AB135</f>
        <v>4531.4800000000005</v>
      </c>
      <c r="AC136" s="55">
        <f>AC132+AC133+AC134+AC135</f>
        <v>0.0</v>
      </c>
      <c r="AD136" s="54">
        <f>AD132+AD133+AD134+AD135</f>
        <v>5693.06</v>
      </c>
      <c r="AE136" s="55">
        <f>AE132+AE133+AE134+AE135</f>
        <v>0.0</v>
      </c>
      <c r="AF136" s="54">
        <f>AF132+AF133+AF134+AF135</f>
        <v>4531.4800000000005</v>
      </c>
      <c r="AG136" s="55">
        <f>AG132+AG133+AG134+AG135</f>
        <v>0.0</v>
      </c>
      <c r="AH136" s="54">
        <f>AH132+AH133+AH134+AH135</f>
        <v>4531.4800000000005</v>
      </c>
      <c r="AI136" s="54">
        <f>AI132+AI133+AI134+AI135</f>
        <v>36.58</v>
      </c>
      <c r="AJ136" s="54">
        <f>AJ132+AJ133+AJ134+AJ135</f>
        <v>3239.68</v>
      </c>
      <c r="AK136" s="55">
        <f>AK132+AK133+AK134+AK135</f>
        <v>0.0</v>
      </c>
      <c r="AL136" s="55">
        <f>B136+C136+D136+E136+F136+G136+H136+I136+J136+K136+L136+M136+N136+O136+P136+Q136+R136+S136+T136+U136+V136+W136+X136+Y136+Z136+AA136+AB136+AC136+AD136+AE136+AF136+AG136+AH136+AI136+AJ136+AK136</f>
        <v>77887.4</v>
      </c>
    </row>
    <row r="137" spans="1:38" ht="16">
      <c r="A137" s="42" t="s">
        <v>134</v>
      </c>
      <c r="B137" s="53">
        <v>6026.81</v>
      </c>
      <c r="C137" s="53">
        <v>8503.26</v>
      </c>
      <c r="D137" s="52"/>
      <c r="E137" s="52"/>
      <c r="F137" s="52"/>
      <c r="G137" s="53">
        <v>13977.29</v>
      </c>
      <c r="H137" s="52"/>
      <c r="I137" s="52"/>
      <c r="J137" s="53">
        <v>6037.08</v>
      </c>
      <c r="K137" s="53">
        <v>5116.48</v>
      </c>
      <c r="L137" s="53">
        <v>1731.32</v>
      </c>
      <c r="M137" s="52"/>
      <c r="N137" s="52"/>
      <c r="O137" s="53">
        <v>12289.11</v>
      </c>
      <c r="P137" s="53">
        <v>1678.78</v>
      </c>
      <c r="Q137" s="52"/>
      <c r="R137" s="52"/>
      <c r="S137" s="53">
        <v>6427.2</v>
      </c>
      <c r="T137" s="53">
        <v>6935.13</v>
      </c>
      <c r="U137" s="52"/>
      <c r="V137" s="52"/>
      <c r="W137" s="52"/>
      <c r="X137" s="53">
        <v>12363.3</v>
      </c>
      <c r="Y137" s="53">
        <v>1930.86</v>
      </c>
      <c r="Z137" s="52"/>
      <c r="AA137" s="52"/>
      <c r="AB137" s="53">
        <v>11742.95</v>
      </c>
      <c r="AC137" s="53">
        <v>1922.11</v>
      </c>
      <c r="AD137" s="52"/>
      <c r="AE137" s="52"/>
      <c r="AF137" s="52"/>
      <c r="AG137" s="53">
        <v>13647.96</v>
      </c>
      <c r="AH137" s="52"/>
      <c r="AI137" s="52"/>
      <c r="AJ137" s="52"/>
      <c r="AK137" s="52"/>
      <c r="AL137" s="53">
        <f>B137+C137+D137+E137+F137+G137+H137+I137+J137+K137+L137+M137+N137+O137+P137+Q137+R137+S137+T137+U137+V137+W137+X137+Y137+Z137+AA137+AB137+AC137+AD137+AE137+AF137+AG137+AH137+AI137+AJ137+AK137</f>
        <v>110329.63999999998</v>
      </c>
    </row>
    <row r="138" spans="1:38" ht="16">
      <c r="A138" s="47" t="s">
        <v>135</v>
      </c>
      <c r="B138" s="54">
        <f>B131+B136+B137</f>
        <v>6026.81</v>
      </c>
      <c r="C138" s="54">
        <f>C131+C136+C137</f>
        <v>8503.26</v>
      </c>
      <c r="D138" s="54">
        <f>D131+D136+D137</f>
        <v>4563.740000000001</v>
      </c>
      <c r="E138" s="54">
        <f>E131+E136+E137</f>
        <v>36.58</v>
      </c>
      <c r="F138" s="54">
        <f>F131+F136+F137</f>
        <v>4535.490000000001</v>
      </c>
      <c r="G138" s="54">
        <f>G131+G136+G137</f>
        <v>13977.29</v>
      </c>
      <c r="H138" s="54">
        <f>H131+H136+H137</f>
        <v>4531.4800000000005</v>
      </c>
      <c r="I138" s="54">
        <f>I131+I136+I137</f>
        <v>36.58</v>
      </c>
      <c r="J138" s="54">
        <f>J131+J136+J137</f>
        <v>10568.560000000001</v>
      </c>
      <c r="K138" s="54">
        <f>K131+K136+K137</f>
        <v>5116.48</v>
      </c>
      <c r="L138" s="54">
        <f>L131+L136+L137</f>
        <v>6262.8</v>
      </c>
      <c r="M138" s="54">
        <f>M131+M136+M137</f>
        <v>233.95</v>
      </c>
      <c r="N138" s="54">
        <f>N131+N136+N137</f>
        <v>4531.4800000000005</v>
      </c>
      <c r="O138" s="54">
        <f>O131+O136+O137</f>
        <v>12289.11</v>
      </c>
      <c r="P138" s="54">
        <f>P131+P136+P137</f>
        <v>6210.26</v>
      </c>
      <c r="Q138" s="54">
        <f>Q131+Q136+Q137</f>
        <v>36.58</v>
      </c>
      <c r="R138" s="54">
        <f>R131+R136+R137</f>
        <v>4460.82</v>
      </c>
      <c r="S138" s="54">
        <f>S131+S136+S137</f>
        <v>6427.2</v>
      </c>
      <c r="T138" s="54">
        <f>T131+T136+T137</f>
        <v>11466.61</v>
      </c>
      <c r="U138" s="55">
        <f>U131+U136+U137</f>
        <v>0.0</v>
      </c>
      <c r="V138" s="54">
        <f>V131+V136+V137</f>
        <v>4531.4800000000005</v>
      </c>
      <c r="W138" s="55">
        <f>W131+W136+W137</f>
        <v>0.0</v>
      </c>
      <c r="X138" s="54">
        <f>X131+X136+X137</f>
        <v>16894.78</v>
      </c>
      <c r="Y138" s="54">
        <f>Y131+Y136+Y137</f>
        <v>1930.86</v>
      </c>
      <c r="Z138" s="54">
        <f>Z131+Z136+Z137</f>
        <v>5168.06</v>
      </c>
      <c r="AA138" s="55">
        <f>AA131+AA136+AA137</f>
        <v>0.0</v>
      </c>
      <c r="AB138" s="54">
        <f>AB131+AB136+AB137</f>
        <v>16274.43</v>
      </c>
      <c r="AC138" s="54">
        <f>AC131+AC136+AC137</f>
        <v>1922.11</v>
      </c>
      <c r="AD138" s="54">
        <f>AD131+AD136+AD137</f>
        <v>5693.06</v>
      </c>
      <c r="AE138" s="55">
        <f>AE131+AE136+AE137</f>
        <v>0.0</v>
      </c>
      <c r="AF138" s="54">
        <f>AF131+AF136+AF137</f>
        <v>4531.4800000000005</v>
      </c>
      <c r="AG138" s="54">
        <f>AG131+AG136+AG137</f>
        <v>13647.96</v>
      </c>
      <c r="AH138" s="54">
        <f>AH131+AH136+AH137</f>
        <v>4531.4800000000005</v>
      </c>
      <c r="AI138" s="54">
        <f>AI131+AI136+AI137</f>
        <v>36.58</v>
      </c>
      <c r="AJ138" s="54">
        <f>AJ131+AJ136+AJ137</f>
        <v>3239.68</v>
      </c>
      <c r="AK138" s="55">
        <f>AK131+AK136+AK137</f>
        <v>0.0</v>
      </c>
      <c r="AL138" s="55">
        <f>B138+C138+D138+E138+F138+G138+H138+I138+J138+K138+L138+M138+N138+O138+P138+Q138+R138+S138+T138+U138+V138+W138+X138+Y138+Z138+AA138+AB138+AC138+AD138+AE138+AF138+AG138+AH138+AI138+AJ138+AK138</f>
        <v>188217.03999999992</v>
      </c>
    </row>
    <row r="139" spans="1:38" ht="16">
      <c r="A139" s="48" t="s">
        <v>136</v>
      </c>
      <c r="B139" s="54">
        <f>B130+B138</f>
        <v>6026.81</v>
      </c>
      <c r="C139" s="54">
        <f>C130+C138</f>
        <v>8503.26</v>
      </c>
      <c r="D139" s="54">
        <f>D130+D138</f>
        <v>4563.740000000001</v>
      </c>
      <c r="E139" s="54">
        <f>E130+E138</f>
        <v>36.58</v>
      </c>
      <c r="F139" s="54">
        <f>F130+F138</f>
        <v>4535.490000000001</v>
      </c>
      <c r="G139" s="54">
        <f>G130+G138</f>
        <v>13977.29</v>
      </c>
      <c r="H139" s="54">
        <f>H130+H138</f>
        <v>4531.4800000000005</v>
      </c>
      <c r="I139" s="54">
        <f>I130+I138</f>
        <v>36.58</v>
      </c>
      <c r="J139" s="54">
        <f>J130+J138</f>
        <v>10568.560000000001</v>
      </c>
      <c r="K139" s="54">
        <f>K130+K138</f>
        <v>5116.48</v>
      </c>
      <c r="L139" s="54">
        <f>L130+L138</f>
        <v>6262.8</v>
      </c>
      <c r="M139" s="54">
        <f>M130+M138</f>
        <v>233.95</v>
      </c>
      <c r="N139" s="54">
        <f>N130+N138</f>
        <v>4531.4800000000005</v>
      </c>
      <c r="O139" s="54">
        <f>O130+O138</f>
        <v>12289.11</v>
      </c>
      <c r="P139" s="54">
        <f>P130+P138</f>
        <v>6210.26</v>
      </c>
      <c r="Q139" s="54">
        <f>Q130+Q138</f>
        <v>36.58</v>
      </c>
      <c r="R139" s="54">
        <f>R130+R138</f>
        <v>4460.82</v>
      </c>
      <c r="S139" s="54">
        <f>S130+S138</f>
        <v>6427.2</v>
      </c>
      <c r="T139" s="54">
        <f>T130+T138</f>
        <v>11466.61</v>
      </c>
      <c r="U139" s="55">
        <f>U130+U138</f>
        <v>0.0</v>
      </c>
      <c r="V139" s="54">
        <f>V130+V138</f>
        <v>4531.4800000000005</v>
      </c>
      <c r="W139" s="55">
        <f>W130+W138</f>
        <v>0.0</v>
      </c>
      <c r="X139" s="54">
        <f>X130+X138</f>
        <v>16894.78</v>
      </c>
      <c r="Y139" s="54">
        <f>Y130+Y138</f>
        <v>1930.86</v>
      </c>
      <c r="Z139" s="54">
        <f>Z130+Z138</f>
        <v>5168.06</v>
      </c>
      <c r="AA139" s="55">
        <f>AA130+AA138</f>
        <v>0.0</v>
      </c>
      <c r="AB139" s="54">
        <f>AB130+AB138</f>
        <v>16274.43</v>
      </c>
      <c r="AC139" s="54">
        <f>AC130+AC138</f>
        <v>1922.11</v>
      </c>
      <c r="AD139" s="54">
        <f>AD130+AD138</f>
        <v>5693.06</v>
      </c>
      <c r="AE139" s="55">
        <f>AE130+AE138</f>
        <v>0.0</v>
      </c>
      <c r="AF139" s="54">
        <f>AF130+AF138</f>
        <v>4531.4800000000005</v>
      </c>
      <c r="AG139" s="54">
        <f>AG130+AG138</f>
        <v>13647.96</v>
      </c>
      <c r="AH139" s="54">
        <f>AH130+AH138</f>
        <v>4531.4800000000005</v>
      </c>
      <c r="AI139" s="54">
        <f>AI130+AI138</f>
        <v>36.58</v>
      </c>
      <c r="AJ139" s="54">
        <f>AJ130+AJ138</f>
        <v>3239.68</v>
      </c>
      <c r="AK139" s="55">
        <f>AK130+AK138</f>
        <v>0.0</v>
      </c>
      <c r="AL139" s="55">
        <f>B139+C139+D139+E139+F139+G139+H139+I139+J139+K139+L139+M139+N139+O139+P139+Q139+R139+S139+T139+U139+V139+W139+X139+Y139+Z139+AA139+AB139+AC139+AD139+AE139+AF139+AG139+AH139+AI139+AJ139+AK139</f>
        <v>188217.03999999992</v>
      </c>
    </row>
    <row r="140" spans="1:38" ht="16">
      <c r="A140" s="48" t="s">
        <v>137</v>
      </c>
      <c r="B140" s="54">
        <f>B129-B139</f>
        <v>-5999.22</v>
      </c>
      <c r="C140" s="54">
        <f>C129-C139</f>
        <v>-8503.26</v>
      </c>
      <c r="D140" s="54">
        <f>D129-D139</f>
        <v>-4563.740000000001</v>
      </c>
      <c r="E140" s="54">
        <f>E129-E139</f>
        <v>-36.58</v>
      </c>
      <c r="F140" s="54">
        <f>F129-F139</f>
        <v>-4535.490000000001</v>
      </c>
      <c r="G140" s="54">
        <f>G129-G139</f>
        <v>-13962.390000000001</v>
      </c>
      <c r="H140" s="54">
        <f>H129-H139</f>
        <v>-4531.4800000000005</v>
      </c>
      <c r="I140" s="54">
        <f>I129-I139</f>
        <v>-36.58</v>
      </c>
      <c r="J140" s="54">
        <f>J129-J139</f>
        <v>-10553.54</v>
      </c>
      <c r="K140" s="54">
        <f>K129-K139</f>
        <v>-5116.48</v>
      </c>
      <c r="L140" s="54">
        <f>L129-L139</f>
        <v>-6262.8</v>
      </c>
      <c r="M140" s="54">
        <f>M129-M139</f>
        <v>-233.95</v>
      </c>
      <c r="N140" s="54">
        <f>N129-N139</f>
        <v>-4531.4800000000005</v>
      </c>
      <c r="O140" s="54">
        <f>O129-O139</f>
        <v>-12272.130000000001</v>
      </c>
      <c r="P140" s="54">
        <f>P129-P139</f>
        <v>-6210.26</v>
      </c>
      <c r="Q140" s="54">
        <f>Q129-Q139</f>
        <v>11576.47</v>
      </c>
      <c r="R140" s="54">
        <f>R129-R139</f>
        <v>-4460.82</v>
      </c>
      <c r="S140" s="54">
        <f>S129-S139</f>
        <v>-6410.0599999999995</v>
      </c>
      <c r="T140" s="54">
        <f>T129-T139</f>
        <v>-11466.61</v>
      </c>
      <c r="U140" s="55">
        <f>U129-U139</f>
        <v>0.0</v>
      </c>
      <c r="V140" s="54">
        <f>V129-V139</f>
        <v>-4531.4800000000005</v>
      </c>
      <c r="W140" s="55">
        <f>W129-W139</f>
        <v>0.0</v>
      </c>
      <c r="X140" s="54">
        <f>X129-X139</f>
        <v>-16882.399999999998</v>
      </c>
      <c r="Y140" s="54">
        <f>Y129-Y139</f>
        <v>-1930.86</v>
      </c>
      <c r="Z140" s="54">
        <f>Z129-Z139</f>
        <v>-5168.06</v>
      </c>
      <c r="AA140" s="55">
        <f>AA129-AA139</f>
        <v>0.0</v>
      </c>
      <c r="AB140" s="54">
        <f>AB129-AB139</f>
        <v>-16267.79</v>
      </c>
      <c r="AC140" s="54">
        <f>AC129-AC139</f>
        <v>-1922.11</v>
      </c>
      <c r="AD140" s="54">
        <f>AD129-AD139</f>
        <v>-5693.06</v>
      </c>
      <c r="AE140" s="55">
        <f>AE129-AE139</f>
        <v>0.0</v>
      </c>
      <c r="AF140" s="54">
        <f>AF129-AF139</f>
        <v>-4524.000000000001</v>
      </c>
      <c r="AG140" s="54">
        <f>AG129-AG139</f>
        <v>-13647.96</v>
      </c>
      <c r="AH140" s="54">
        <f>AH129-AH139</f>
        <v>-4531.4800000000005</v>
      </c>
      <c r="AI140" s="54">
        <f>AI129-AI139</f>
        <v>-36.58</v>
      </c>
      <c r="AJ140" s="54">
        <f>AJ129-AJ139</f>
        <v>-3239.68</v>
      </c>
      <c r="AK140" s="55">
        <f>AK129-AK139</f>
        <v>0.0</v>
      </c>
      <c r="AL140" s="55">
        <f>B140+C140+D140+E140+F140+G140+H140+I140+J140+K140+L140+M140+N140+O140+P140+Q140+R140+S140+T140+U140+V140+W140+X140+Y140+Z140+AA140+AB140+AC140+AD140+AE140+AF140+AG140+AH140+AI140+AJ140+AK140</f>
        <v>-176485.85999999996</v>
      </c>
    </row>
    <row r="141" spans="1:38" ht="16">
      <c r="A141" s="48" t="s">
        <v>138</v>
      </c>
      <c r="B141" s="54">
        <f>B123+B140</f>
        <v>7975.320000000001</v>
      </c>
      <c r="C141" s="54">
        <f>C123+C140</f>
        <v>-2951.1800000000003</v>
      </c>
      <c r="D141" s="54">
        <f>D123+D140</f>
        <v>-5553.780000000002</v>
      </c>
      <c r="E141" s="54">
        <f>E123+E140</f>
        <v>26160.04</v>
      </c>
      <c r="F141" s="54">
        <f>F123+F140</f>
        <v>-22966.319999999996</v>
      </c>
      <c r="G141" s="54">
        <f>G123+G140</f>
        <v>-7311.130000000003</v>
      </c>
      <c r="H141" s="54">
        <f>H123+H140</f>
        <v>29485.64999999999</v>
      </c>
      <c r="I141" s="54">
        <f>I123+I140</f>
        <v>9047.31</v>
      </c>
      <c r="J141" s="54">
        <f>J123+J140</f>
        <v>-16296.16</v>
      </c>
      <c r="K141" s="54">
        <f>K123+K140</f>
        <v>10338.449999999999</v>
      </c>
      <c r="L141" s="54">
        <f>L123+L140</f>
        <v>-1956.9100000000008</v>
      </c>
      <c r="M141" s="54">
        <f>M123+M140</f>
        <v>11754.220000000001</v>
      </c>
      <c r="N141" s="54">
        <f>N123+N140</f>
        <v>-8965.990000000003</v>
      </c>
      <c r="O141" s="54">
        <f>O123+O140</f>
        <v>22147.270000000008</v>
      </c>
      <c r="P141" s="54">
        <f>P123+P140</f>
        <v>126.42999999999756</v>
      </c>
      <c r="Q141" s="54">
        <f>Q123+Q140</f>
        <v>15943.119999999999</v>
      </c>
      <c r="R141" s="54">
        <f>R123+R140</f>
        <v>-18408.649999999994</v>
      </c>
      <c r="S141" s="54">
        <f>S123+S140</f>
        <v>3656.7900000000027</v>
      </c>
      <c r="T141" s="54">
        <f>T123+T140</f>
        <v>-31687.770000000004</v>
      </c>
      <c r="U141" s="54">
        <f>U123+U140</f>
        <v>25343.54</v>
      </c>
      <c r="V141" s="54">
        <f>V123+V140</f>
        <v>-23665.469999999998</v>
      </c>
      <c r="W141" s="54">
        <f>W123+W140</f>
        <v>33944.23000000001</v>
      </c>
      <c r="X141" s="54">
        <f>X123+X140</f>
        <v>-32537.89</v>
      </c>
      <c r="Y141" s="54">
        <f>Y123+Y140</f>
        <v>15623.599999999999</v>
      </c>
      <c r="Z141" s="54">
        <f>Z123+Z140</f>
        <v>-9857.690000000004</v>
      </c>
      <c r="AA141" s="54">
        <f>AA123+AA140</f>
        <v>32826.20000000001</v>
      </c>
      <c r="AB141" s="54">
        <f>AB123+AB140</f>
        <v>-18016.409999999996</v>
      </c>
      <c r="AC141" s="54">
        <f>AC123+AC140</f>
        <v>17160.22</v>
      </c>
      <c r="AD141" s="54">
        <f>AD123+AD140</f>
        <v>-15121.650000000001</v>
      </c>
      <c r="AE141" s="54">
        <f>AE123+AE140</f>
        <v>6464.400000000002</v>
      </c>
      <c r="AF141" s="54">
        <f>AF123+AF140</f>
        <v>-3716.140000000003</v>
      </c>
      <c r="AG141" s="54">
        <f>AG123+AG140</f>
        <v>4489.640000000003</v>
      </c>
      <c r="AH141" s="54">
        <f>AH123+AH140</f>
        <v>-27878.37</v>
      </c>
      <c r="AI141" s="54">
        <f>AI123+AI140</f>
        <v>17259.36</v>
      </c>
      <c r="AJ141" s="54">
        <f>AJ123+AJ140</f>
        <v>-15081.720000000001</v>
      </c>
      <c r="AK141" s="54">
        <f>AK123+AK140</f>
        <v>-2600.7299999999996</v>
      </c>
      <c r="AL141" s="55">
        <f>B141+C141+D141+E141+F141+G141+H141+I141+J141+K141+L141+M141+N141+O141+P141+Q141+R141+S141+T141+U141+V141+W141+X141+Y141+Z141+AA141+AB141+AC141+AD141+AE141+AF141+AG141+AH141+AI141+AJ141+AK141</f>
        <v>25171.830000000027</v>
      </c>
    </row>
    <row r="145" spans="1:1" ht="16">
      <c r="A145" s="58" t="s">
        <v>177</v>
      </c>
    </row>
  </sheetData>
  <mergeCells count="4">
    <mergeCell ref="A1:AL1"/>
    <mergeCell ref="A2:AL2"/>
    <mergeCell ref="A3:AL3"/>
    <mergeCell ref="A145:AL145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