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0" i="1" l="1"/>
</calcChain>
</file>

<file path=xl/sharedStrings.xml><?xml version="1.0" encoding="utf-8"?>
<sst xmlns="http://schemas.openxmlformats.org/spreadsheetml/2006/main" count="177" uniqueCount="177">
  <si>
    <t>Hoodz of Kansas City</t>
  </si>
  <si>
    <t>Profit and Loss</t>
  </si>
  <si>
    <t>January-August, 2026</t>
  </si>
  <si>
    <t>Income</t>
  </si>
  <si>
    <t>4000 Sales</t>
  </si>
  <si>
    <t>4002 Services &amp; Fees</t>
  </si>
  <si>
    <t>4003 Hood System Cleaning</t>
  </si>
  <si>
    <t>4004 Hood System Inspection</t>
  </si>
  <si>
    <t>4005 Hood System Repair</t>
  </si>
  <si>
    <t>4011 Oven Cleaning &amp; Repair</t>
  </si>
  <si>
    <t>4013 Surface Cleaning</t>
  </si>
  <si>
    <t>4016 Other Services</t>
  </si>
  <si>
    <t>4060 Fees</t>
  </si>
  <si>
    <t>Total for 4002 Services &amp; Fees</t>
  </si>
  <si>
    <t>4020 Products &amp; Parts</t>
  </si>
  <si>
    <t>4030 Grease Containment</t>
  </si>
  <si>
    <t>4031 Grease Containment System</t>
  </si>
  <si>
    <t>4032 Grease Containment Pillows</t>
  </si>
  <si>
    <t>Total for 4030 Grease Containment</t>
  </si>
  <si>
    <t>4040 Parts</t>
  </si>
  <si>
    <t>4043 Exhaust Fan Hinges</t>
  </si>
  <si>
    <t>4045 Other Parts &amp; Supplies</t>
  </si>
  <si>
    <t>4048 Baffle-Type Hood Filters</t>
  </si>
  <si>
    <t>Total for 4040 Parts</t>
  </si>
  <si>
    <t>Total for 4020 Products &amp; Parts</t>
  </si>
  <si>
    <t>4070 Discounts</t>
  </si>
  <si>
    <t>Total for 4000 Sales</t>
  </si>
  <si>
    <t>Sales of Product Income</t>
  </si>
  <si>
    <t>Total for Income</t>
  </si>
  <si>
    <t>Cost of Goods Sold</t>
  </si>
  <si>
    <t>5000 Job Supplies &amp; Materials</t>
  </si>
  <si>
    <t>5009 Consumables &amp; Small Tools</t>
  </si>
  <si>
    <t>5001 Chemicals</t>
  </si>
  <si>
    <t>5002 Consumable Job Supplies</t>
  </si>
  <si>
    <t>5003 Equipment Repairs &amp; Maintenance</t>
  </si>
  <si>
    <t>5004 Small Job Tools</t>
  </si>
  <si>
    <t>Total for 5009 Consumables &amp; Small Tools</t>
  </si>
  <si>
    <t>5010 Grease Containment (COGS)</t>
  </si>
  <si>
    <t>5020 Parts &amp; Supply Cost</t>
  </si>
  <si>
    <t>5025 Filter Inventory</t>
  </si>
  <si>
    <t>5027 PCU Type Filters</t>
  </si>
  <si>
    <t>Total for 5025 Filter Inventory</t>
  </si>
  <si>
    <t>5035 Soak Tank</t>
  </si>
  <si>
    <t>5037 Soak Tank Chemicals</t>
  </si>
  <si>
    <t>Total for 5035 Soak Tank</t>
  </si>
  <si>
    <t>Total for 5020 Parts &amp; Supply Cost</t>
  </si>
  <si>
    <t>Total for 5000 Job Supplies &amp; Materials</t>
  </si>
  <si>
    <t>5030 Other Job Related Expenses</t>
  </si>
  <si>
    <t>5050 Direct Rental - Equip/Machinery</t>
  </si>
  <si>
    <t>5060 Direct Personnel Cost</t>
  </si>
  <si>
    <t>5061 Technician Labor</t>
  </si>
  <si>
    <t>5063 Technician Employer Payroll Tax</t>
  </si>
  <si>
    <t>5065 Subcontractor</t>
  </si>
  <si>
    <t>Total for 5060 Direct Personnel Cost</t>
  </si>
  <si>
    <t>5070 Direct Transportation Cost</t>
  </si>
  <si>
    <t>5071 Direct Fuel Expense</t>
  </si>
  <si>
    <t>5074 Direct Meal (50%)</t>
  </si>
  <si>
    <t>5076 Direct Expense Parking &amp; Tolls</t>
  </si>
  <si>
    <t>Total for 5070 Direct Transportation Cost</t>
  </si>
  <si>
    <t>5080 Credit Card Processing Fees</t>
  </si>
  <si>
    <t>5100 Royalty</t>
  </si>
  <si>
    <t>Total for Cost of Goods Sold</t>
  </si>
  <si>
    <t>Gross Profit</t>
  </si>
  <si>
    <t>Expenses</t>
  </si>
  <si>
    <t>6000 Marketing and Sales</t>
  </si>
  <si>
    <t>6100 Marketing</t>
  </si>
  <si>
    <t>6102 Internet Advertising</t>
  </si>
  <si>
    <t>6106 Trade Shows</t>
  </si>
  <si>
    <t>6108 Print Advertising</t>
  </si>
  <si>
    <t>Total for 6100 Marketing</t>
  </si>
  <si>
    <t>Total for 6000 Marketing and Sales</t>
  </si>
  <si>
    <t>6400 General &amp; Administrative</t>
  </si>
  <si>
    <t>6410 Administrative Salary &amp; Benefits</t>
  </si>
  <si>
    <t>6414 Virtual Assistant</t>
  </si>
  <si>
    <t>Total for 6410 Administrative Salary &amp; Benefits</t>
  </si>
  <si>
    <t>6421 Travel Expense</t>
  </si>
  <si>
    <t>6422 Travel Meals</t>
  </si>
  <si>
    <t>Total for 6421 Travel Expense</t>
  </si>
  <si>
    <t>6430 Bank Charges and Fees</t>
  </si>
  <si>
    <t>6440 Bad Debt</t>
  </si>
  <si>
    <t>6460 Legal &amp; Professional Fees</t>
  </si>
  <si>
    <t>6461 Accounting</t>
  </si>
  <si>
    <t>6462 Legal</t>
  </si>
  <si>
    <t>Total for 6460 Legal &amp; Professional Fees</t>
  </si>
  <si>
    <t>6470 Office Expense</t>
  </si>
  <si>
    <t>6471 Office / Storage Rent</t>
  </si>
  <si>
    <t>6473 Office Supplies</t>
  </si>
  <si>
    <t>6474 Minor Office Equipment</t>
  </si>
  <si>
    <t>6475 Communications</t>
  </si>
  <si>
    <t>6476 Gas, Water, Electricity, Trash</t>
  </si>
  <si>
    <t>6477 Internet Expense</t>
  </si>
  <si>
    <t>6478 Software Fees</t>
  </si>
  <si>
    <t>Total for 6470 Office Expense</t>
  </si>
  <si>
    <t>6481 Payroll Processing Fees</t>
  </si>
  <si>
    <t>6490 Employee Related Expenses</t>
  </si>
  <si>
    <t>6492 Education &amp; Training</t>
  </si>
  <si>
    <t>6493 Uniforms &amp; Logoed Apparel</t>
  </si>
  <si>
    <t>6,493.10 Technician Uniforms</t>
  </si>
  <si>
    <t>Total for 6493 Uniforms &amp; Logoed Apparel</t>
  </si>
  <si>
    <t>6496 Employee Morale</t>
  </si>
  <si>
    <t>Total for 6490 Employee Related Expenses</t>
  </si>
  <si>
    <t>6500 Vehicle Expenses</t>
  </si>
  <si>
    <t>6501 Vehicle Lease</t>
  </si>
  <si>
    <t>6502 Vehicle Fuel</t>
  </si>
  <si>
    <t>6503 Vehicle Insurance</t>
  </si>
  <si>
    <t>6504 Vehicle Repairs &amp; Maintenance</t>
  </si>
  <si>
    <t>Total for 6500 Vehicle Expenses</t>
  </si>
  <si>
    <t>6510 Insurance</t>
  </si>
  <si>
    <t>6511 General Liability</t>
  </si>
  <si>
    <t>6515 Workers Comp</t>
  </si>
  <si>
    <t>Total for 6510 Insurance</t>
  </si>
  <si>
    <t>6530 Business Taxes &amp; Licenses</t>
  </si>
  <si>
    <t>6533 Licenses and Permits</t>
  </si>
  <si>
    <t>6534 Property Tax</t>
  </si>
  <si>
    <t>Total for 6530 Business Taxes &amp; Licenses</t>
  </si>
  <si>
    <t>6540 Dues &amp; Subscriptions</t>
  </si>
  <si>
    <t>6550 Tools &amp; Equipment</t>
  </si>
  <si>
    <t>Total for 6400 General &amp; Administrative</t>
  </si>
  <si>
    <t>Total for Expenses</t>
  </si>
  <si>
    <t>Net Operating Income</t>
  </si>
  <si>
    <t>Other Income</t>
  </si>
  <si>
    <t>7000 Other Income</t>
  </si>
  <si>
    <t>7010 Interest Income</t>
  </si>
  <si>
    <t>7040 Insurance Payout</t>
  </si>
  <si>
    <t>Total for 7000 Other Income</t>
  </si>
  <si>
    <t>Total for Other Income</t>
  </si>
  <si>
    <t>Other Expenses</t>
  </si>
  <si>
    <t>8000 Other Expense</t>
  </si>
  <si>
    <t>8010 Owner Payroll</t>
  </si>
  <si>
    <t>8011 Owner Wages</t>
  </si>
  <si>
    <t>8012 Owner Payroll Taxes</t>
  </si>
  <si>
    <t>8013 Owner Insurance</t>
  </si>
  <si>
    <t>Total for 8010 Owner Payroll</t>
  </si>
  <si>
    <t>8030 Interest Expense</t>
  </si>
  <si>
    <t>Total for 8000 Other Expense</t>
  </si>
  <si>
    <t>Total for Other Expenses</t>
  </si>
  <si>
    <t>Net Other Income</t>
  </si>
  <si>
    <t>Net Income</t>
  </si>
  <si>
    <t/>
  </si>
  <si>
    <t>Jan 1-4 2026</t>
  </si>
  <si>
    <t>Jan 5-11 2026</t>
  </si>
  <si>
    <t>Jan 12-18 2026</t>
  </si>
  <si>
    <t>Jan 19-25 2026</t>
  </si>
  <si>
    <t>Jan 26 - Feb 1 2026</t>
  </si>
  <si>
    <t>Feb 2-8 2026</t>
  </si>
  <si>
    <t>Feb 9-15 2026</t>
  </si>
  <si>
    <t>Feb 16-22 2026</t>
  </si>
  <si>
    <t>Feb 23 - Mar 1 2026</t>
  </si>
  <si>
    <t>Mar 2-8 2026</t>
  </si>
  <si>
    <t>Mar 9-15 2026</t>
  </si>
  <si>
    <t>Mar 16-22 2026</t>
  </si>
  <si>
    <t>Mar 23-29 2026</t>
  </si>
  <si>
    <t>Mar 30 - Apr 5 2026</t>
  </si>
  <si>
    <t>Apr 6-12 2026</t>
  </si>
  <si>
    <t>Apr 13-19 2026</t>
  </si>
  <si>
    <t>Apr 20-26 2026</t>
  </si>
  <si>
    <t>Apr 27 - May 3 2026</t>
  </si>
  <si>
    <t>May 4-10 2026</t>
  </si>
  <si>
    <t>May 11-17 2026</t>
  </si>
  <si>
    <t>May 18-24 2026</t>
  </si>
  <si>
    <t>May 25-31 2026</t>
  </si>
  <si>
    <t>Jun 1-7 2026</t>
  </si>
  <si>
    <t>Jun 8-14 2026</t>
  </si>
  <si>
    <t>Jun 15-21 2026</t>
  </si>
  <si>
    <t>Jun 22-28 2026</t>
  </si>
  <si>
    <t>Jun 29 - Jul 5 2026</t>
  </si>
  <si>
    <t>Jul 6-12 2026</t>
  </si>
  <si>
    <t>Jul 13-19 2026</t>
  </si>
  <si>
    <t>Jul 20-26 2026</t>
  </si>
  <si>
    <t>Jul 27 - Aug 2 2026</t>
  </si>
  <si>
    <t>Aug 3-9 2026</t>
  </si>
  <si>
    <t>Aug 10-16 2026</t>
  </si>
  <si>
    <t>Aug 17-23 2026</t>
  </si>
  <si>
    <t>Aug 24-30 2026</t>
  </si>
  <si>
    <t>Aug 31-31 2026</t>
  </si>
  <si>
    <t>Total</t>
  </si>
  <si>
    <t>Accrual Basis Wednesday, September 16, 2026 08:41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</si>
</sst>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177" fontId="3" fillId="0" borderId="0" xfId="0" applyNumberFormat="1" applyFont="1"/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144"/>
  <sheetViews>
    <sheetView tabSelected="1" workbookViewId="0" topLeftCell="A1"/>
  </sheetViews>
  <sheetFormatPr defaultColWidth="11.255" defaultRowHeight="16"/>
  <cols>
    <col min="1" max="1" width="41" style="49" customWidth="1"/>
    <col min="2" max="2" width="17" style="49" customWidth="1"/>
    <col min="3" max="5" width="16.125" style="49" customWidth="1"/>
    <col min="6" max="8" width="17" style="49" customWidth="1"/>
    <col min="9" max="9" width="16.125" style="49" customWidth="1"/>
    <col min="10" max="10" width="17" style="49" customWidth="1"/>
    <col min="11" max="11" width="16.125" style="49" customWidth="1"/>
    <col min="12" max="12" width="17" style="49" customWidth="1"/>
    <col min="13" max="13" width="15.25" style="49" customWidth="1"/>
    <col min="14" max="15" width="17" style="49" customWidth="1"/>
    <col min="16" max="17" width="16.125" style="49" customWidth="1"/>
    <col min="18" max="20" width="17" style="49" customWidth="1"/>
    <col min="21" max="21" width="15.25" style="49" customWidth="1"/>
    <col min="22" max="22" width="17" style="49" customWidth="1"/>
    <col min="23" max="23" width="12.625" style="49" customWidth="1"/>
    <col min="24" max="24" width="17" style="49" customWidth="1"/>
    <col min="25" max="27" width="16.125" style="49" customWidth="1"/>
    <col min="28" max="28" width="17" style="49" customWidth="1"/>
    <col min="29" max="29" width="16.125" style="49" customWidth="1"/>
    <col min="30" max="30" width="17" style="49" customWidth="1"/>
    <col min="31" max="31" width="16.125" style="49" customWidth="1"/>
    <col min="32" max="32" width="17" style="49" customWidth="1"/>
    <col min="33" max="33" width="16.125" style="49" customWidth="1"/>
    <col min="34" max="34" width="17" style="49" customWidth="1"/>
    <col min="35" max="35" width="16.125" style="49" customWidth="1"/>
    <col min="36" max="36" width="17" style="49" customWidth="1"/>
    <col min="37" max="38" width="16.125" style="49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38" ht="16">
      <c r="A5" s="51" t="s">
        <v>138</v>
      </c>
      <c r="B5" s="56" t="s">
        <v>139</v>
      </c>
      <c r="C5" s="56" t="s">
        <v>140</v>
      </c>
      <c r="D5" s="56" t="s">
        <v>141</v>
      </c>
      <c r="E5" s="56" t="s">
        <v>142</v>
      </c>
      <c r="F5" s="56" t="s">
        <v>143</v>
      </c>
      <c r="G5" s="56" t="s">
        <v>144</v>
      </c>
      <c r="H5" s="56" t="s">
        <v>145</v>
      </c>
      <c r="I5" s="56" t="s">
        <v>146</v>
      </c>
      <c r="J5" s="56" t="s">
        <v>147</v>
      </c>
      <c r="K5" s="56" t="s">
        <v>148</v>
      </c>
      <c r="L5" s="56" t="s">
        <v>149</v>
      </c>
      <c r="M5" s="56" t="s">
        <v>150</v>
      </c>
      <c r="N5" s="56" t="s">
        <v>151</v>
      </c>
      <c r="O5" s="56" t="s">
        <v>152</v>
      </c>
      <c r="P5" s="56" t="s">
        <v>153</v>
      </c>
      <c r="Q5" s="56" t="s">
        <v>154</v>
      </c>
      <c r="R5" s="56" t="s">
        <v>155</v>
      </c>
      <c r="S5" s="56" t="s">
        <v>156</v>
      </c>
      <c r="T5" s="56" t="s">
        <v>157</v>
      </c>
      <c r="U5" s="56" t="s">
        <v>158</v>
      </c>
      <c r="V5" s="56" t="s">
        <v>159</v>
      </c>
      <c r="W5" s="56" t="s">
        <v>160</v>
      </c>
      <c r="X5" s="56" t="s">
        <v>161</v>
      </c>
      <c r="Y5" s="56" t="s">
        <v>162</v>
      </c>
      <c r="Z5" s="56" t="s">
        <v>163</v>
      </c>
      <c r="AA5" s="56" t="s">
        <v>164</v>
      </c>
      <c r="AB5" s="56" t="s">
        <v>165</v>
      </c>
      <c r="AC5" s="56" t="s">
        <v>166</v>
      </c>
      <c r="AD5" s="56" t="s">
        <v>167</v>
      </c>
      <c r="AE5" s="56" t="s">
        <v>168</v>
      </c>
      <c r="AF5" s="56" t="s">
        <v>169</v>
      </c>
      <c r="AG5" s="56" t="s">
        <v>170</v>
      </c>
      <c r="AH5" s="56" t="s">
        <v>171</v>
      </c>
      <c r="AI5" s="56" t="s">
        <v>172</v>
      </c>
      <c r="AJ5" s="56" t="s">
        <v>173</v>
      </c>
      <c r="AK5" s="56" t="s">
        <v>174</v>
      </c>
      <c r="AL5" s="56" t="s">
        <v>175</v>
      </c>
    </row>
    <row r="6" spans="1:37" ht="16">
      <c r="A6" s="40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</row>
    <row r="7" spans="1:38" ht="16">
      <c r="A7" s="41" t="s">
        <v>4</v>
      </c>
      <c r="B7" s="52"/>
      <c r="C7" s="52"/>
      <c r="D7" s="53">
        <v>-2456.0</v>
      </c>
      <c r="E7" s="52"/>
      <c r="F7" s="52"/>
      <c r="G7" s="53">
        <v>-425.0</v>
      </c>
      <c r="H7" s="53">
        <v>460.0</v>
      </c>
      <c r="I7" s="52"/>
      <c r="J7" s="52"/>
      <c r="K7" s="52"/>
      <c r="L7" s="52"/>
      <c r="M7" s="52"/>
      <c r="N7" s="52"/>
      <c r="O7" s="53">
        <v>22.0</v>
      </c>
      <c r="P7" s="52"/>
      <c r="Q7" s="52"/>
      <c r="R7" s="52"/>
      <c r="S7" s="52"/>
      <c r="T7" s="52"/>
      <c r="U7" s="52"/>
      <c r="V7" s="53">
        <v>632.22</v>
      </c>
      <c r="W7" s="53">
        <v>512.97</v>
      </c>
      <c r="X7" s="53">
        <v>220.0</v>
      </c>
      <c r="Y7" s="52"/>
      <c r="Z7" s="52"/>
      <c r="AA7" s="53">
        <v>884.0</v>
      </c>
      <c r="AB7" s="53">
        <v>-620.0</v>
      </c>
      <c r="AC7" s="52"/>
      <c r="AD7" s="53">
        <v>200.0</v>
      </c>
      <c r="AE7" s="53">
        <v>113.0</v>
      </c>
      <c r="AF7" s="52"/>
      <c r="AG7" s="52"/>
      <c r="AH7" s="53">
        <v>-627.0</v>
      </c>
      <c r="AI7" s="53">
        <v>-605.0</v>
      </c>
      <c r="AJ7" s="52"/>
      <c r="AK7" s="52"/>
      <c r="AL7" s="53">
        <f>B7+C7+D7+E7+F7+G7+H7+I7+J7+K7+L7+M7+N7+O7+P7+Q7+R7+S7+T7+U7+V7+W7+X7+Y7+Z7+AA7+AB7+AC7+AD7+AE7+AF7+AG7+AH7+AI7+AJ7+AK7</f>
        <v>-1688.81</v>
      </c>
    </row>
    <row r="8" spans="1:38" ht="16">
      <c r="A8" s="42" t="s">
        <v>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</row>
    <row r="9" spans="1:38" ht="16">
      <c r="A9" s="43" t="s">
        <v>6</v>
      </c>
      <c r="B9" s="53">
        <v>7506.0</v>
      </c>
      <c r="C9" s="53">
        <v>19788.75</v>
      </c>
      <c r="D9" s="53">
        <v>46980.0</v>
      </c>
      <c r="E9" s="53">
        <v>29947.45</v>
      </c>
      <c r="F9" s="53">
        <v>27600.0</v>
      </c>
      <c r="G9" s="53">
        <v>34713.2</v>
      </c>
      <c r="H9" s="53">
        <v>26272.06</v>
      </c>
      <c r="I9" s="53">
        <v>27136.0</v>
      </c>
      <c r="J9" s="53">
        <v>30199.15</v>
      </c>
      <c r="K9" s="53">
        <v>38849.0</v>
      </c>
      <c r="L9" s="53">
        <v>29153.45</v>
      </c>
      <c r="M9" s="53">
        <v>26832.0</v>
      </c>
      <c r="N9" s="53">
        <v>19971.0</v>
      </c>
      <c r="O9" s="53">
        <v>20106.81</v>
      </c>
      <c r="P9" s="53">
        <v>29264.0</v>
      </c>
      <c r="Q9" s="53">
        <v>22700.51</v>
      </c>
      <c r="R9" s="53">
        <v>22989.75</v>
      </c>
      <c r="S9" s="53">
        <v>28412.0</v>
      </c>
      <c r="T9" s="53">
        <v>21465.0</v>
      </c>
      <c r="U9" s="53">
        <v>21535.75</v>
      </c>
      <c r="V9" s="53">
        <v>22774.0</v>
      </c>
      <c r="W9" s="53">
        <v>33839.0</v>
      </c>
      <c r="X9" s="53">
        <v>24419.51</v>
      </c>
      <c r="Y9" s="53">
        <v>34652.9</v>
      </c>
      <c r="Z9" s="53">
        <v>42807.95</v>
      </c>
      <c r="AA9" s="53">
        <v>29401.0</v>
      </c>
      <c r="AB9" s="53">
        <v>40225.06</v>
      </c>
      <c r="AC9" s="53">
        <v>30659.0</v>
      </c>
      <c r="AD9" s="53">
        <v>33108.0</v>
      </c>
      <c r="AE9" s="53">
        <v>27570.45</v>
      </c>
      <c r="AF9" s="53">
        <v>15974.75</v>
      </c>
      <c r="AG9" s="53">
        <v>29035.0</v>
      </c>
      <c r="AH9" s="53">
        <v>35910.0</v>
      </c>
      <c r="AI9" s="53">
        <v>33589.51</v>
      </c>
      <c r="AJ9" s="53">
        <v>30326.75</v>
      </c>
      <c r="AK9" s="53">
        <v>10696.0</v>
      </c>
      <c r="AL9" s="53">
        <f>B9+C9+D9+E9+F9+G9+H9+I9+J9+K9+L9+M9+N9+O9+P9+Q9+R9+S9+T9+U9+V9+W9+X9+Y9+Z9+AA9+AB9+AC9+AD9+AE9+AF9+AG9+AH9+AI9+AJ9+AK9</f>
        <v>1006410.76</v>
      </c>
    </row>
    <row r="10" spans="1:38" ht="16">
      <c r="A10" s="43" t="s">
        <v>7</v>
      </c>
      <c r="B10" s="52"/>
      <c r="C10" s="52"/>
      <c r="D10" s="52"/>
      <c r="E10" s="52"/>
      <c r="F10" s="52"/>
      <c r="G10" s="53">
        <v>50.0</v>
      </c>
      <c r="H10" s="52"/>
      <c r="I10" s="52"/>
      <c r="J10" s="52"/>
      <c r="K10" s="53">
        <v>95.0</v>
      </c>
      <c r="L10" s="52"/>
      <c r="M10" s="52"/>
      <c r="N10" s="52"/>
      <c r="O10" s="52"/>
      <c r="P10" s="52"/>
      <c r="Q10" s="52"/>
      <c r="R10" s="52"/>
      <c r="S10" s="52"/>
      <c r="T10" s="52"/>
      <c r="U10" s="53">
        <v>250.0</v>
      </c>
      <c r="V10" s="52"/>
      <c r="W10" s="52"/>
      <c r="X10" s="52"/>
      <c r="Y10" s="52"/>
      <c r="Z10" s="53">
        <v>50.0</v>
      </c>
      <c r="AA10" s="53">
        <v>50.0</v>
      </c>
      <c r="AB10" s="53">
        <v>95.0</v>
      </c>
      <c r="AC10" s="52"/>
      <c r="AD10" s="52"/>
      <c r="AE10" s="52"/>
      <c r="AF10" s="53">
        <v>175.0</v>
      </c>
      <c r="AG10" s="53">
        <v>555.0</v>
      </c>
      <c r="AH10" s="53">
        <v>380.0</v>
      </c>
      <c r="AI10" s="52"/>
      <c r="AJ10" s="53">
        <v>300.0</v>
      </c>
      <c r="AK10" s="52"/>
      <c r="AL10" s="53">
        <f>B10+C10+D10+E10+F10+G10+H10+I10+J10+K10+L10+M10+N10+O10+P10+Q10+R10+S10+T10+U10+V10+W10+X10+Y10+Z10+AA10+AB10+AC10+AD10+AE10+AF10+AG10+AH10+AI10+AJ10+AK10</f>
        <v>2000.0</v>
      </c>
    </row>
    <row r="11" spans="1:38" ht="16">
      <c r="A11" s="43" t="s">
        <v>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3">
        <v>800.0</v>
      </c>
      <c r="AF11" s="52"/>
      <c r="AG11" s="52"/>
      <c r="AH11" s="52"/>
      <c r="AI11" s="52"/>
      <c r="AJ11" s="52"/>
      <c r="AK11" s="52"/>
      <c r="AL11" s="53">
        <f>B11+C11+D11+E11+F11+G11+H11+I11+J11+K11+L11+M11+N11+O11+P11+Q11+R11+S11+T11+U11+V11+W11+X11+Y11+Z11+AA11+AB11+AC11+AD11+AE11+AF11+AG11+AH11+AI11+AJ11+AK11</f>
        <v>800.0</v>
      </c>
    </row>
    <row r="12" spans="1:38" ht="16">
      <c r="A12" s="43" t="s">
        <v>9</v>
      </c>
      <c r="B12" s="52"/>
      <c r="C12" s="52"/>
      <c r="D12" s="53">
        <v>975.0</v>
      </c>
      <c r="E12" s="53">
        <v>600.0</v>
      </c>
      <c r="F12" s="52"/>
      <c r="G12" s="52"/>
      <c r="H12" s="52"/>
      <c r="I12" s="52"/>
      <c r="J12" s="53">
        <v>1882.0</v>
      </c>
      <c r="K12" s="53">
        <v>0</v>
      </c>
      <c r="L12" s="53">
        <v>975.0</v>
      </c>
      <c r="M12" s="53">
        <v>975.0</v>
      </c>
      <c r="N12" s="52"/>
      <c r="O12" s="52"/>
      <c r="P12" s="53">
        <v>600.0</v>
      </c>
      <c r="Q12" s="53">
        <v>700.0</v>
      </c>
      <c r="R12" s="52"/>
      <c r="S12" s="52"/>
      <c r="T12" s="53">
        <v>975.0</v>
      </c>
      <c r="U12" s="53">
        <v>900.0</v>
      </c>
      <c r="V12" s="52"/>
      <c r="W12" s="52"/>
      <c r="X12" s="52"/>
      <c r="Y12" s="53">
        <v>350.0</v>
      </c>
      <c r="Z12" s="52"/>
      <c r="AA12" s="52"/>
      <c r="AB12" s="53">
        <v>700.0</v>
      </c>
      <c r="AC12" s="53">
        <v>785.0</v>
      </c>
      <c r="AD12" s="52"/>
      <c r="AE12" s="52"/>
      <c r="AF12" s="52"/>
      <c r="AG12" s="53">
        <v>600.0</v>
      </c>
      <c r="AH12" s="52"/>
      <c r="AI12" s="53">
        <v>785.0</v>
      </c>
      <c r="AJ12" s="52"/>
      <c r="AK12" s="53">
        <v>600.0</v>
      </c>
      <c r="AL12" s="53">
        <f>B12+C12+D12+E12+F12+G12+H12+I12+J12+K12+L12+M12+N12+O12+P12+Q12+R12+S12+T12+U12+V12+W12+X12+Y12+Z12+AA12+AB12+AC12+AD12+AE12+AF12+AG12+AH12+AI12+AJ12+AK12</f>
        <v>12402.0</v>
      </c>
    </row>
    <row r="13" spans="1:38" ht="16">
      <c r="A13" s="43" t="s">
        <v>10</v>
      </c>
      <c r="B13" s="52"/>
      <c r="C13" s="52"/>
      <c r="D13" s="52"/>
      <c r="E13" s="53">
        <v>50.0</v>
      </c>
      <c r="F13" s="52"/>
      <c r="G13" s="53">
        <v>50.0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3">
        <v>50.0</v>
      </c>
      <c r="S13" s="52"/>
      <c r="T13" s="52"/>
      <c r="U13" s="53">
        <v>50.0</v>
      </c>
      <c r="V13" s="53">
        <v>700.0</v>
      </c>
      <c r="W13" s="52"/>
      <c r="X13" s="52"/>
      <c r="Y13" s="52"/>
      <c r="Z13" s="52"/>
      <c r="AA13" s="53">
        <v>0</v>
      </c>
      <c r="AB13" s="53">
        <v>450.0</v>
      </c>
      <c r="AC13" s="53">
        <v>300.0</v>
      </c>
      <c r="AD13" s="53">
        <v>50.0</v>
      </c>
      <c r="AE13" s="52"/>
      <c r="AF13" s="52"/>
      <c r="AG13" s="53">
        <v>50.0</v>
      </c>
      <c r="AH13" s="52"/>
      <c r="AI13" s="52"/>
      <c r="AJ13" s="52"/>
      <c r="AK13" s="53">
        <v>100.0</v>
      </c>
      <c r="AL13" s="53">
        <f>B13+C13+D13+E13+F13+G13+H13+I13+J13+K13+L13+M13+N13+O13+P13+Q13+R13+S13+T13+U13+V13+W13+X13+Y13+Z13+AA13+AB13+AC13+AD13+AE13+AF13+AG13+AH13+AI13+AJ13+AK13</f>
        <v>1850.0</v>
      </c>
    </row>
    <row r="14" spans="1:38" ht="16">
      <c r="A14" s="43" t="s">
        <v>11</v>
      </c>
      <c r="B14" s="53">
        <v>399.0</v>
      </c>
      <c r="C14" s="53">
        <v>1050.0</v>
      </c>
      <c r="D14" s="53">
        <v>1508.0</v>
      </c>
      <c r="E14" s="53">
        <v>1456.0</v>
      </c>
      <c r="F14" s="53">
        <v>1643.0</v>
      </c>
      <c r="G14" s="53">
        <v>1623.0</v>
      </c>
      <c r="H14" s="53">
        <v>1081.0</v>
      </c>
      <c r="I14" s="53">
        <v>1111.0</v>
      </c>
      <c r="J14" s="53">
        <v>1541.0</v>
      </c>
      <c r="K14" s="53">
        <v>1279.0</v>
      </c>
      <c r="L14" s="53">
        <v>1266.0</v>
      </c>
      <c r="M14" s="53">
        <v>1057.0</v>
      </c>
      <c r="N14" s="53">
        <v>1003.0</v>
      </c>
      <c r="O14" s="53">
        <v>1100.0</v>
      </c>
      <c r="P14" s="53">
        <v>1080.0</v>
      </c>
      <c r="Q14" s="53">
        <v>777.0</v>
      </c>
      <c r="R14" s="53">
        <v>1212.0</v>
      </c>
      <c r="S14" s="53">
        <v>3313.95</v>
      </c>
      <c r="T14" s="53">
        <v>1116.0</v>
      </c>
      <c r="U14" s="53">
        <v>1086.0</v>
      </c>
      <c r="V14" s="53">
        <v>1159.0</v>
      </c>
      <c r="W14" s="53">
        <v>996.0</v>
      </c>
      <c r="X14" s="53">
        <v>1098.0</v>
      </c>
      <c r="Y14" s="53">
        <v>1300.0</v>
      </c>
      <c r="Z14" s="53">
        <v>2279.0</v>
      </c>
      <c r="AA14" s="53">
        <v>1960.0</v>
      </c>
      <c r="AB14" s="53">
        <v>2115.0</v>
      </c>
      <c r="AC14" s="53">
        <v>1647.0</v>
      </c>
      <c r="AD14" s="53">
        <v>1490.0</v>
      </c>
      <c r="AE14" s="53">
        <v>2504.0</v>
      </c>
      <c r="AF14" s="53">
        <v>810.0</v>
      </c>
      <c r="AG14" s="53">
        <v>1670.0</v>
      </c>
      <c r="AH14" s="53">
        <v>1252.95</v>
      </c>
      <c r="AI14" s="53">
        <v>1905.0</v>
      </c>
      <c r="AJ14" s="53">
        <v>1900.0</v>
      </c>
      <c r="AK14" s="53">
        <v>682.0</v>
      </c>
      <c r="AL14" s="53">
        <f>B14+C14+D14+E14+F14+G14+H14+I14+J14+K14+L14+M14+N14+O14+P14+Q14+R14+S14+T14+U14+V14+W14+X14+Y14+Z14+AA14+AB14+AC14+AD14+AE14+AF14+AG14+AH14+AI14+AJ14+AK14</f>
        <v>50469.899999999994</v>
      </c>
    </row>
    <row r="15" spans="1:38" ht="16">
      <c r="A15" s="43" t="s">
        <v>12</v>
      </c>
      <c r="B15" s="53">
        <v>139.56</v>
      </c>
      <c r="C15" s="53">
        <v>381.61</v>
      </c>
      <c r="D15" s="53">
        <v>-699.18</v>
      </c>
      <c r="E15" s="53">
        <v>739.68</v>
      </c>
      <c r="F15" s="53">
        <v>799.3</v>
      </c>
      <c r="G15" s="53">
        <v>639.03</v>
      </c>
      <c r="H15" s="53">
        <v>842.09</v>
      </c>
      <c r="I15" s="53">
        <v>762.0</v>
      </c>
      <c r="J15" s="53">
        <v>1007.36</v>
      </c>
      <c r="K15" s="53">
        <v>77.34</v>
      </c>
      <c r="L15" s="53">
        <v>645.01</v>
      </c>
      <c r="M15" s="53">
        <v>262.0</v>
      </c>
      <c r="N15" s="53">
        <v>357.38</v>
      </c>
      <c r="O15" s="53">
        <v>237.94</v>
      </c>
      <c r="P15" s="53">
        <v>695.07</v>
      </c>
      <c r="Q15" s="53">
        <v>195.0</v>
      </c>
      <c r="R15" s="53">
        <v>262.73</v>
      </c>
      <c r="S15" s="53">
        <v>-48.07</v>
      </c>
      <c r="T15" s="53">
        <v>242.67</v>
      </c>
      <c r="U15" s="53">
        <v>1562.76</v>
      </c>
      <c r="V15" s="53">
        <v>965.34</v>
      </c>
      <c r="W15" s="53">
        <v>407.7</v>
      </c>
      <c r="X15" s="53">
        <v>275.87</v>
      </c>
      <c r="Y15" s="53">
        <v>923.03</v>
      </c>
      <c r="Z15" s="53">
        <v>770.32</v>
      </c>
      <c r="AA15" s="53">
        <v>67.66</v>
      </c>
      <c r="AB15" s="53">
        <v>468.89</v>
      </c>
      <c r="AC15" s="53">
        <v>599.56</v>
      </c>
      <c r="AD15" s="53">
        <v>807.19</v>
      </c>
      <c r="AE15" s="53">
        <v>474.34</v>
      </c>
      <c r="AF15" s="53">
        <v>572.74</v>
      </c>
      <c r="AG15" s="53">
        <v>693.86</v>
      </c>
      <c r="AH15" s="53">
        <v>980.14</v>
      </c>
      <c r="AI15" s="53">
        <v>1867.18</v>
      </c>
      <c r="AJ15" s="53">
        <v>1431.06</v>
      </c>
      <c r="AK15" s="53">
        <v>240.82</v>
      </c>
      <c r="AL15" s="53">
        <f>B15+C15+D15+E15+F15+G15+H15+I15+J15+K15+L15+M15+N15+O15+P15+Q15+R15+S15+T15+U15+V15+W15+X15+Y15+Z15+AA15+AB15+AC15+AD15+AE15+AF15+AG15+AH15+AI15+AJ15+AK15</f>
        <v>20646.980000000003</v>
      </c>
    </row>
    <row r="16" spans="1:38" ht="16">
      <c r="A16" s="44" t="s">
        <v>13</v>
      </c>
      <c r="B16" s="54">
        <f>B8+B9+B10+B11+B12+B13+B14+B15</f>
        <v>8044.56</v>
      </c>
      <c r="C16" s="54">
        <f>C8+C9+C10+C11+C12+C13+C14+C15</f>
        <v>21220.36</v>
      </c>
      <c r="D16" s="54">
        <f>D8+D9+D10+D11+D12+D13+D14+D15</f>
        <v>48763.82</v>
      </c>
      <c r="E16" s="54">
        <f>E8+E9+E10+E11+E12+E13+E14+E15</f>
        <v>32793.13</v>
      </c>
      <c r="F16" s="54">
        <f>F8+F9+F10+F11+F12+F13+F14+F15</f>
        <v>30042.3</v>
      </c>
      <c r="G16" s="54">
        <f>G8+G9+G10+G11+G12+G13+G14+G15</f>
        <v>37075.229999999996</v>
      </c>
      <c r="H16" s="54">
        <f>H8+H9+H10+H11+H12+H13+H14+H15</f>
        <v>28195.15</v>
      </c>
      <c r="I16" s="54">
        <f>I8+I9+I10+I11+I12+I13+I14+I15</f>
        <v>29009.0</v>
      </c>
      <c r="J16" s="54">
        <f>J8+J9+J10+J11+J12+J13+J14+J15</f>
        <v>34629.51</v>
      </c>
      <c r="K16" s="54">
        <f>K8+K9+K10+K11+K12+K13+K14+K15</f>
        <v>40300.34</v>
      </c>
      <c r="L16" s="54">
        <f>L8+L9+L10+L11+L12+L13+L14+L15</f>
        <v>32039.46</v>
      </c>
      <c r="M16" s="54">
        <f>M8+M9+M10+M11+M12+M13+M14+M15</f>
        <v>29126.0</v>
      </c>
      <c r="N16" s="54">
        <f>N8+N9+N10+N11+N12+N13+N14+N15</f>
        <v>21331.38</v>
      </c>
      <c r="O16" s="54">
        <f>O8+O9+O10+O11+O12+O13+O14+O15</f>
        <v>21444.75</v>
      </c>
      <c r="P16" s="54">
        <f>P8+P9+P10+P11+P12+P13+P14+P15</f>
        <v>31639.07</v>
      </c>
      <c r="Q16" s="54">
        <f>Q8+Q9+Q10+Q11+Q12+Q13+Q14+Q15</f>
        <v>24372.51</v>
      </c>
      <c r="R16" s="54">
        <f>R8+R9+R10+R11+R12+R13+R14+R15</f>
        <v>24514.48</v>
      </c>
      <c r="S16" s="54">
        <f>S8+S9+S10+S11+S12+S13+S14+S15</f>
        <v>31677.88</v>
      </c>
      <c r="T16" s="54">
        <f>T8+T9+T10+T11+T12+T13+T14+T15</f>
        <v>23798.67</v>
      </c>
      <c r="U16" s="54">
        <f>U8+U9+U10+U11+U12+U13+U14+U15</f>
        <v>25384.51</v>
      </c>
      <c r="V16" s="54">
        <f>V8+V9+V10+V11+V12+V13+V14+V15</f>
        <v>25598.34</v>
      </c>
      <c r="W16" s="54">
        <f>W8+W9+W10+W11+W12+W13+W14+W15</f>
        <v>35242.7</v>
      </c>
      <c r="X16" s="54">
        <f>X8+X9+X10+X11+X12+X13+X14+X15</f>
        <v>25793.379999999997</v>
      </c>
      <c r="Y16" s="54">
        <f>Y8+Y9+Y10+Y11+Y12+Y13+Y14+Y15</f>
        <v>37225.93</v>
      </c>
      <c r="Z16" s="54">
        <f>Z8+Z9+Z10+Z11+Z12+Z13+Z14+Z15</f>
        <v>45907.27</v>
      </c>
      <c r="AA16" s="54">
        <f>AA8+AA9+AA10+AA11+AA12+AA13+AA14+AA15</f>
        <v>31478.66</v>
      </c>
      <c r="AB16" s="54">
        <f>AB8+AB9+AB10+AB11+AB12+AB13+AB14+AB15</f>
        <v>44053.95</v>
      </c>
      <c r="AC16" s="54">
        <f>AC8+AC9+AC10+AC11+AC12+AC13+AC14+AC15</f>
        <v>33990.56</v>
      </c>
      <c r="AD16" s="54">
        <f>AD8+AD9+AD10+AD11+AD12+AD13+AD14+AD15</f>
        <v>35455.19</v>
      </c>
      <c r="AE16" s="54">
        <f>AE8+AE9+AE10+AE11+AE12+AE13+AE14+AE15</f>
        <v>31348.79</v>
      </c>
      <c r="AF16" s="54">
        <f>AF8+AF9+AF10+AF11+AF12+AF13+AF14+AF15</f>
        <v>17532.49</v>
      </c>
      <c r="AG16" s="54">
        <f>AG8+AG9+AG10+AG11+AG12+AG13+AG14+AG15</f>
        <v>32603.86</v>
      </c>
      <c r="AH16" s="54">
        <f>AH8+AH9+AH10+AH11+AH12+AH13+AH14+AH15</f>
        <v>38523.09</v>
      </c>
      <c r="AI16" s="54">
        <f>AI8+AI9+AI10+AI11+AI12+AI13+AI14+AI15</f>
        <v>38146.69</v>
      </c>
      <c r="AJ16" s="54">
        <f>AJ8+AJ9+AJ10+AJ11+AJ12+AJ13+AJ14+AJ15</f>
        <v>33957.81</v>
      </c>
      <c r="AK16" s="54">
        <f>AK8+AK9+AK10+AK11+AK12+AK13+AK14+AK15</f>
        <v>12318.82</v>
      </c>
      <c r="AL16" s="55">
        <f>B16+C16+D16+E16+F16+G16+H16+I16+J16+K16+L16+M16+N16+O16+P16+Q16+R16+S16+T16+U16+V16+W16+X16+Y16+Z16+AA16+AB16+AC16+AD16+AE16+AF16+AG16+AH16+AI16+AJ16+AK16</f>
        <v>1094579.64</v>
      </c>
    </row>
    <row r="17" spans="1:38" ht="16">
      <c r="A17" s="42" t="s">
        <v>14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</row>
    <row r="18" spans="1:38" ht="16">
      <c r="A18" s="43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</row>
    <row r="19" spans="1:38" ht="16">
      <c r="A19" s="45" t="s">
        <v>16</v>
      </c>
      <c r="B19" s="52"/>
      <c r="C19" s="52"/>
      <c r="D19" s="52"/>
      <c r="E19" s="52"/>
      <c r="F19" s="52"/>
      <c r="G19" s="52"/>
      <c r="H19" s="52"/>
      <c r="I19" s="53">
        <v>250.0</v>
      </c>
      <c r="J19" s="52"/>
      <c r="K19" s="53">
        <v>49.0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3">
        <v>300.0</v>
      </c>
      <c r="AC19" s="52"/>
      <c r="AD19" s="53">
        <v>724.0</v>
      </c>
      <c r="AE19" s="52"/>
      <c r="AF19" s="52"/>
      <c r="AG19" s="53">
        <v>250.0</v>
      </c>
      <c r="AH19" s="52"/>
      <c r="AI19" s="53">
        <v>250.0</v>
      </c>
      <c r="AJ19" s="52"/>
      <c r="AK19" s="53">
        <v>600.0</v>
      </c>
      <c r="AL19" s="53">
        <f>B19+C19+D19+E19+F19+G19+H19+I19+J19+K19+L19+M19+N19+O19+P19+Q19+R19+S19+T19+U19+V19+W19+X19+Y19+Z19+AA19+AB19+AC19+AD19+AE19+AF19+AG19+AH19+AI19+AJ19+AK19</f>
        <v>2423.0</v>
      </c>
    </row>
    <row r="20" spans="1:38" ht="16">
      <c r="A20" s="45" t="s">
        <v>17</v>
      </c>
      <c r="B20" s="52"/>
      <c r="C20" s="52"/>
      <c r="D20" s="52"/>
      <c r="E20" s="53">
        <v>75.0</v>
      </c>
      <c r="F20" s="52"/>
      <c r="G20" s="52"/>
      <c r="H20" s="52"/>
      <c r="I20" s="52"/>
      <c r="J20" s="53">
        <v>49.0</v>
      </c>
      <c r="K20" s="52"/>
      <c r="L20" s="57">
        <v>0</v>
      </c>
      <c r="M20" s="53">
        <v>49.0</v>
      </c>
      <c r="N20" s="53">
        <v>49.0</v>
      </c>
      <c r="O20" s="52"/>
      <c r="P20" s="53">
        <v>146.0</v>
      </c>
      <c r="Q20" s="53">
        <v>49.0</v>
      </c>
      <c r="R20" s="53">
        <v>147.0</v>
      </c>
      <c r="S20" s="53">
        <v>265.0</v>
      </c>
      <c r="T20" s="53">
        <v>147.0</v>
      </c>
      <c r="U20" s="53">
        <v>49.0</v>
      </c>
      <c r="V20" s="53">
        <v>49.0</v>
      </c>
      <c r="W20" s="52"/>
      <c r="X20" s="53">
        <v>49.0</v>
      </c>
      <c r="Y20" s="53">
        <v>49.0</v>
      </c>
      <c r="Z20" s="53">
        <v>98.0</v>
      </c>
      <c r="AA20" s="53">
        <v>49.0</v>
      </c>
      <c r="AB20" s="53">
        <v>395.0</v>
      </c>
      <c r="AC20" s="53">
        <v>108.0</v>
      </c>
      <c r="AD20" s="53">
        <v>2363.0</v>
      </c>
      <c r="AE20" s="53">
        <v>195.0</v>
      </c>
      <c r="AF20" s="53">
        <v>49.0</v>
      </c>
      <c r="AG20" s="53">
        <v>206.0</v>
      </c>
      <c r="AH20" s="53">
        <v>98.0</v>
      </c>
      <c r="AI20" s="53">
        <v>98.0</v>
      </c>
      <c r="AJ20" s="53">
        <v>49.0</v>
      </c>
      <c r="AK20" s="53">
        <v>196.0</v>
      </c>
      <c r="AL20" s="53">
        <f>B20+C20+D20+E20+F20+G20+H20+I20+J20+K20+L20+M20+N20+O20+P20+Q20+R20+S20+T20+U20+V20+W20+X20+Y20+Z20+AA20+AB20+AC20+AD20+AE20+AF20+AG20+AH20+AI20+AJ20+AK20</f>
        <v>5076.0</v>
      </c>
    </row>
    <row r="21" spans="1:38" ht="16">
      <c r="A21" s="46" t="s">
        <v>18</v>
      </c>
      <c r="B21" s="55">
        <f>B18+B19+B20</f>
        <v>0.0</v>
      </c>
      <c r="C21" s="55">
        <f>C18+C19+C20</f>
        <v>0.0</v>
      </c>
      <c r="D21" s="55">
        <f>D18+D19+D20</f>
        <v>0.0</v>
      </c>
      <c r="E21" s="54">
        <f>E18+E19+E20</f>
        <v>75.0</v>
      </c>
      <c r="F21" s="55">
        <f>F18+F19+F20</f>
        <v>0.0</v>
      </c>
      <c r="G21" s="55">
        <f>G18+G19+G20</f>
        <v>0.0</v>
      </c>
      <c r="H21" s="55">
        <f>H18+H19+H20</f>
        <v>0.0</v>
      </c>
      <c r="I21" s="54">
        <f>I18+I19+I20</f>
        <v>250.0</v>
      </c>
      <c r="J21" s="54">
        <f>J18+J19+J20</f>
        <v>49.0</v>
      </c>
      <c r="K21" s="54">
        <f>K18+K19+K20</f>
        <v>49.0</v>
      </c>
      <c r="L21" s="55">
        <f>L18+L19+L20</f>
        <v>0.0</v>
      </c>
      <c r="M21" s="54">
        <f>M18+M19+M20</f>
        <v>49.0</v>
      </c>
      <c r="N21" s="54">
        <f>N18+N19+N20</f>
        <v>49.0</v>
      </c>
      <c r="O21" s="55">
        <f>O18+O19+O20</f>
        <v>0.0</v>
      </c>
      <c r="P21" s="54">
        <f>P18+P19+P20</f>
        <v>146.0</v>
      </c>
      <c r="Q21" s="54">
        <f>Q18+Q19+Q20</f>
        <v>49.0</v>
      </c>
      <c r="R21" s="54">
        <f>R18+R19+R20</f>
        <v>147.0</v>
      </c>
      <c r="S21" s="54">
        <f>S18+S19+S20</f>
        <v>265.0</v>
      </c>
      <c r="T21" s="54">
        <f>T18+T19+T20</f>
        <v>147.0</v>
      </c>
      <c r="U21" s="54">
        <f>U18+U19+U20</f>
        <v>49.0</v>
      </c>
      <c r="V21" s="54">
        <f>V18+V19+V20</f>
        <v>49.0</v>
      </c>
      <c r="W21" s="55">
        <f>W18+W19+W20</f>
        <v>0.0</v>
      </c>
      <c r="X21" s="54">
        <f>X18+X19+X20</f>
        <v>49.0</v>
      </c>
      <c r="Y21" s="54">
        <f>Y18+Y19+Y20</f>
        <v>49.0</v>
      </c>
      <c r="Z21" s="54">
        <f>Z18+Z19+Z20</f>
        <v>98.0</v>
      </c>
      <c r="AA21" s="54">
        <f>AA18+AA19+AA20</f>
        <v>49.0</v>
      </c>
      <c r="AB21" s="54">
        <f>AB18+AB19+AB20</f>
        <v>695.0</v>
      </c>
      <c r="AC21" s="54">
        <f>AC18+AC19+AC20</f>
        <v>108.0</v>
      </c>
      <c r="AD21" s="54">
        <f>AD18+AD19+AD20</f>
        <v>3087.0</v>
      </c>
      <c r="AE21" s="54">
        <f>AE18+AE19+AE20</f>
        <v>195.0</v>
      </c>
      <c r="AF21" s="54">
        <f>AF18+AF19+AF20</f>
        <v>49.0</v>
      </c>
      <c r="AG21" s="54">
        <f>AG18+AG19+AG20</f>
        <v>456.0</v>
      </c>
      <c r="AH21" s="54">
        <f>AH18+AH19+AH20</f>
        <v>98.0</v>
      </c>
      <c r="AI21" s="54">
        <f>AI18+AI19+AI20</f>
        <v>348.0</v>
      </c>
      <c r="AJ21" s="54">
        <f>AJ18+AJ19+AJ20</f>
        <v>49.0</v>
      </c>
      <c r="AK21" s="54">
        <f>AK18+AK19+AK20</f>
        <v>796.0</v>
      </c>
      <c r="AL21" s="55">
        <f>B21+C21+D21+E21+F21+G21+H21+I21+J21+K21+L21+M21+N21+O21+P21+Q21+R21+S21+T21+U21+V21+W21+X21+Y21+Z21+AA21+AB21+AC21+AD21+AE21+AF21+AG21+AH21+AI21+AJ21+AK21</f>
        <v>7499.0</v>
      </c>
    </row>
    <row r="22" spans="1:38" ht="16">
      <c r="A22" s="43" t="s">
        <v>19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</row>
    <row r="23" spans="1:38" ht="16">
      <c r="A23" s="45" t="s">
        <v>20</v>
      </c>
      <c r="B23" s="52"/>
      <c r="C23" s="52"/>
      <c r="D23" s="52"/>
      <c r="E23" s="52"/>
      <c r="F23" s="52"/>
      <c r="G23" s="52"/>
      <c r="H23" s="52"/>
      <c r="I23" s="52"/>
      <c r="J23" s="53">
        <v>550.0</v>
      </c>
      <c r="K23" s="52"/>
      <c r="L23" s="53">
        <v>750.0</v>
      </c>
      <c r="M23" s="53">
        <v>250.0</v>
      </c>
      <c r="N23" s="52"/>
      <c r="O23" s="52"/>
      <c r="P23" s="52"/>
      <c r="Q23" s="52"/>
      <c r="R23" s="53">
        <v>300.0</v>
      </c>
      <c r="S23" s="52"/>
      <c r="T23" s="52"/>
      <c r="U23" s="53">
        <v>700.0</v>
      </c>
      <c r="V23" s="53">
        <v>250.0</v>
      </c>
      <c r="W23" s="52"/>
      <c r="X23" s="53">
        <v>1150.0</v>
      </c>
      <c r="Y23" s="53">
        <v>500.0</v>
      </c>
      <c r="Z23" s="53">
        <v>250.0</v>
      </c>
      <c r="AA23" s="53">
        <v>250.0</v>
      </c>
      <c r="AB23" s="53">
        <v>450.0</v>
      </c>
      <c r="AC23" s="53">
        <v>250.0</v>
      </c>
      <c r="AD23" s="53">
        <v>250.0</v>
      </c>
      <c r="AE23" s="52"/>
      <c r="AF23" s="52"/>
      <c r="AG23" s="53">
        <v>650.0</v>
      </c>
      <c r="AH23" s="52"/>
      <c r="AI23" s="53">
        <v>1000.0</v>
      </c>
      <c r="AJ23" s="53">
        <v>400.0</v>
      </c>
      <c r="AK23" s="53">
        <v>500.0</v>
      </c>
      <c r="AL23" s="53">
        <f>B23+C23+D23+E23+F23+G23+H23+I23+J23+K23+L23+M23+N23+O23+P23+Q23+R23+S23+T23+U23+V23+W23+X23+Y23+Z23+AA23+AB23+AC23+AD23+AE23+AF23+AG23+AH23+AI23+AJ23+AK23</f>
        <v>8450.0</v>
      </c>
    </row>
    <row r="24" spans="1:38" ht="16">
      <c r="A24" s="45" t="s">
        <v>21</v>
      </c>
      <c r="B24" s="52"/>
      <c r="C24" s="52"/>
      <c r="D24" s="52"/>
      <c r="E24" s="52"/>
      <c r="F24" s="52"/>
      <c r="G24" s="52"/>
      <c r="H24" s="52"/>
      <c r="I24" s="52"/>
      <c r="J24" s="52"/>
      <c r="K24" s="53">
        <v>1970.0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>
        <v>99.0</v>
      </c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3">
        <f>B24+C24+D24+E24+F24+G24+H24+I24+J24+K24+L24+M24+N24+O24+P24+Q24+R24+S24+T24+U24+V24+W24+X24+Y24+Z24+AA24+AB24+AC24+AD24+AE24+AF24+AG24+AH24+AI24+AJ24+AK24</f>
        <v>2069.0</v>
      </c>
    </row>
    <row r="25" spans="1:38" ht="16">
      <c r="A25" s="45" t="s">
        <v>22</v>
      </c>
      <c r="B25" s="52"/>
      <c r="C25" s="52"/>
      <c r="D25" s="52"/>
      <c r="E25" s="52"/>
      <c r="F25" s="52"/>
      <c r="G25" s="52"/>
      <c r="H25" s="52"/>
      <c r="I25" s="52"/>
      <c r="J25" s="53">
        <v>150.0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3">
        <f>B25+C25+D25+E25+F25+G25+H25+I25+J25+K25+L25+M25+N25+O25+P25+Q25+R25+S25+T25+U25+V25+W25+X25+Y25+Z25+AA25+AB25+AC25+AD25+AE25+AF25+AG25+AH25+AI25+AJ25+AK25</f>
        <v>150.0</v>
      </c>
    </row>
    <row r="26" spans="1:38" ht="16">
      <c r="A26" s="46" t="s">
        <v>23</v>
      </c>
      <c r="B26" s="55">
        <f>B22+B23+B24+B25</f>
        <v>0.0</v>
      </c>
      <c r="C26" s="55">
        <f>C22+C23+C24+C25</f>
        <v>0.0</v>
      </c>
      <c r="D26" s="55">
        <f>D22+D23+D24+D25</f>
        <v>0.0</v>
      </c>
      <c r="E26" s="55">
        <f>E22+E23+E24+E25</f>
        <v>0.0</v>
      </c>
      <c r="F26" s="55">
        <f>F22+F23+F24+F25</f>
        <v>0.0</v>
      </c>
      <c r="G26" s="55">
        <f>G22+G23+G24+G25</f>
        <v>0.0</v>
      </c>
      <c r="H26" s="55">
        <f>H22+H23+H24+H25</f>
        <v>0.0</v>
      </c>
      <c r="I26" s="55">
        <f>I22+I23+I24+I25</f>
        <v>0.0</v>
      </c>
      <c r="J26" s="54">
        <f>J22+J23+J24+J25</f>
        <v>700.0</v>
      </c>
      <c r="K26" s="54">
        <f>K22+K23+K24+K25</f>
        <v>1970.0</v>
      </c>
      <c r="L26" s="54">
        <f>L22+L23+L24+L25</f>
        <v>750.0</v>
      </c>
      <c r="M26" s="54">
        <f>M22+M23+M24+M25</f>
        <v>250.0</v>
      </c>
      <c r="N26" s="55">
        <f>N22+N23+N24+N25</f>
        <v>0.0</v>
      </c>
      <c r="O26" s="55">
        <f>O22+O23+O24+O25</f>
        <v>0.0</v>
      </c>
      <c r="P26" s="55">
        <f>P22+P23+P24+P25</f>
        <v>0.0</v>
      </c>
      <c r="Q26" s="55">
        <f>Q22+Q23+Q24+Q25</f>
        <v>0.0</v>
      </c>
      <c r="R26" s="54">
        <f>R22+R23+R24+R25</f>
        <v>300.0</v>
      </c>
      <c r="S26" s="55">
        <f>S22+S23+S24+S25</f>
        <v>0.0</v>
      </c>
      <c r="T26" s="55">
        <f>T22+T23+T24+T25</f>
        <v>0.0</v>
      </c>
      <c r="U26" s="54">
        <f>U22+U23+U24+U25</f>
        <v>700.0</v>
      </c>
      <c r="V26" s="54">
        <f>V22+V23+V24+V25</f>
        <v>250.0</v>
      </c>
      <c r="W26" s="55">
        <f>W22+W23+W24+W25</f>
        <v>0.0</v>
      </c>
      <c r="X26" s="54">
        <f>X22+X23+X24+X25</f>
        <v>1150.0</v>
      </c>
      <c r="Y26" s="54">
        <f>Y22+Y23+Y24+Y25</f>
        <v>500.0</v>
      </c>
      <c r="Z26" s="54">
        <f>Z22+Z23+Z24+Z25</f>
        <v>250.0</v>
      </c>
      <c r="AA26" s="54">
        <f>AA22+AA23+AA24+AA25</f>
        <v>349.0</v>
      </c>
      <c r="AB26" s="54">
        <f>AB22+AB23+AB24+AB25</f>
        <v>450.0</v>
      </c>
      <c r="AC26" s="54">
        <f>AC22+AC23+AC24+AC25</f>
        <v>250.0</v>
      </c>
      <c r="AD26" s="54">
        <f>AD22+AD23+AD24+AD25</f>
        <v>250.0</v>
      </c>
      <c r="AE26" s="55">
        <f>AE22+AE23+AE24+AE25</f>
        <v>0.0</v>
      </c>
      <c r="AF26" s="55">
        <f>AF22+AF23+AF24+AF25</f>
        <v>0.0</v>
      </c>
      <c r="AG26" s="54">
        <f>AG22+AG23+AG24+AG25</f>
        <v>650.0</v>
      </c>
      <c r="AH26" s="55">
        <f>AH22+AH23+AH24+AH25</f>
        <v>0.0</v>
      </c>
      <c r="AI26" s="54">
        <f>AI22+AI23+AI24+AI25</f>
        <v>1000.0</v>
      </c>
      <c r="AJ26" s="54">
        <f>AJ22+AJ23+AJ24+AJ25</f>
        <v>400.0</v>
      </c>
      <c r="AK26" s="54">
        <f>AK22+AK23+AK24+AK25</f>
        <v>500.0</v>
      </c>
      <c r="AL26" s="55">
        <f>B26+C26+D26+E26+F26+G26+H26+I26+J26+K26+L26+M26+N26+O26+P26+Q26+R26+S26+T26+U26+V26+W26+X26+Y26+Z26+AA26+AB26+AC26+AD26+AE26+AF26+AG26+AH26+AI26+AJ26+AK26</f>
        <v>10669.0</v>
      </c>
    </row>
    <row r="27" spans="1:38" ht="16">
      <c r="A27" s="44" t="s">
        <v>24</v>
      </c>
      <c r="B27" s="55">
        <f>B17+B21+B26</f>
        <v>0.0</v>
      </c>
      <c r="C27" s="55">
        <f>C17+C21+C26</f>
        <v>0.0</v>
      </c>
      <c r="D27" s="55">
        <f>D17+D21+D26</f>
        <v>0.0</v>
      </c>
      <c r="E27" s="54">
        <f>E17+E21+E26</f>
        <v>75.0</v>
      </c>
      <c r="F27" s="55">
        <f>F17+F21+F26</f>
        <v>0.0</v>
      </c>
      <c r="G27" s="55">
        <f>G17+G21+G26</f>
        <v>0.0</v>
      </c>
      <c r="H27" s="55">
        <f>H17+H21+H26</f>
        <v>0.0</v>
      </c>
      <c r="I27" s="54">
        <f>I17+I21+I26</f>
        <v>250.0</v>
      </c>
      <c r="J27" s="54">
        <f>J17+J21+J26</f>
        <v>749.0</v>
      </c>
      <c r="K27" s="54">
        <f>K17+K21+K26</f>
        <v>2019.0</v>
      </c>
      <c r="L27" s="54">
        <f>L17+L21+L26</f>
        <v>750.0</v>
      </c>
      <c r="M27" s="54">
        <f>M17+M21+M26</f>
        <v>299.0</v>
      </c>
      <c r="N27" s="54">
        <f>N17+N21+N26</f>
        <v>49.0</v>
      </c>
      <c r="O27" s="55">
        <f>O17+O21+O26</f>
        <v>0.0</v>
      </c>
      <c r="P27" s="54">
        <f>P17+P21+P26</f>
        <v>146.0</v>
      </c>
      <c r="Q27" s="54">
        <f>Q17+Q21+Q26</f>
        <v>49.0</v>
      </c>
      <c r="R27" s="54">
        <f>R17+R21+R26</f>
        <v>447.0</v>
      </c>
      <c r="S27" s="54">
        <f>S17+S21+S26</f>
        <v>265.0</v>
      </c>
      <c r="T27" s="54">
        <f>T17+T21+T26</f>
        <v>147.0</v>
      </c>
      <c r="U27" s="54">
        <f>U17+U21+U26</f>
        <v>749.0</v>
      </c>
      <c r="V27" s="54">
        <f>V17+V21+V26</f>
        <v>299.0</v>
      </c>
      <c r="W27" s="55">
        <f>W17+W21+W26</f>
        <v>0.0</v>
      </c>
      <c r="X27" s="54">
        <f>X17+X21+X26</f>
        <v>1199.0</v>
      </c>
      <c r="Y27" s="54">
        <f>Y17+Y21+Y26</f>
        <v>549.0</v>
      </c>
      <c r="Z27" s="54">
        <f>Z17+Z21+Z26</f>
        <v>348.0</v>
      </c>
      <c r="AA27" s="54">
        <f>AA17+AA21+AA26</f>
        <v>398.0</v>
      </c>
      <c r="AB27" s="54">
        <f>AB17+AB21+AB26</f>
        <v>1145.0</v>
      </c>
      <c r="AC27" s="54">
        <f>AC17+AC21+AC26</f>
        <v>358.0</v>
      </c>
      <c r="AD27" s="54">
        <f>AD17+AD21+AD26</f>
        <v>3337.0</v>
      </c>
      <c r="AE27" s="54">
        <f>AE17+AE21+AE26</f>
        <v>195.0</v>
      </c>
      <c r="AF27" s="54">
        <f>AF17+AF21+AF26</f>
        <v>49.0</v>
      </c>
      <c r="AG27" s="54">
        <f>AG17+AG21+AG26</f>
        <v>1106.0</v>
      </c>
      <c r="AH27" s="54">
        <f>AH17+AH21+AH26</f>
        <v>98.0</v>
      </c>
      <c r="AI27" s="54">
        <f>AI17+AI21+AI26</f>
        <v>1348.0</v>
      </c>
      <c r="AJ27" s="54">
        <f>AJ17+AJ21+AJ26</f>
        <v>449.0</v>
      </c>
      <c r="AK27" s="54">
        <f>AK17+AK21+AK26</f>
        <v>1296.0</v>
      </c>
      <c r="AL27" s="55">
        <f>B27+C27+D27+E27+F27+G27+H27+I27+J27+K27+L27+M27+N27+O27+P27+Q27+R27+S27+T27+U27+V27+W27+X27+Y27+Z27+AA27+AB27+AC27+AD27+AE27+AF27+AG27+AH27+AI27+AJ27+AK27</f>
        <v>18168.0</v>
      </c>
    </row>
    <row r="28" spans="1:38" ht="16">
      <c r="A28" s="42" t="s">
        <v>25</v>
      </c>
      <c r="B28" s="52"/>
      <c r="C28" s="53">
        <v>-407.5</v>
      </c>
      <c r="D28" s="53">
        <v>-377.0</v>
      </c>
      <c r="E28" s="53">
        <v>-800.0</v>
      </c>
      <c r="F28" s="53">
        <v>-432.0</v>
      </c>
      <c r="G28" s="53">
        <v>-264.0</v>
      </c>
      <c r="H28" s="53">
        <v>-132.0</v>
      </c>
      <c r="I28" s="53">
        <v>-516.0</v>
      </c>
      <c r="J28" s="53">
        <v>-820.0</v>
      </c>
      <c r="K28" s="52"/>
      <c r="L28" s="53">
        <v>-300.0</v>
      </c>
      <c r="M28" s="52"/>
      <c r="N28" s="53">
        <v>-584.0</v>
      </c>
      <c r="O28" s="53">
        <v>-192.0</v>
      </c>
      <c r="P28" s="53">
        <v>-226.92</v>
      </c>
      <c r="Q28" s="52"/>
      <c r="R28" s="53">
        <v>-182.0</v>
      </c>
      <c r="S28" s="52"/>
      <c r="T28" s="52"/>
      <c r="U28" s="52"/>
      <c r="V28" s="53">
        <v>-100.0</v>
      </c>
      <c r="W28" s="52"/>
      <c r="X28" s="53">
        <v>-751.0</v>
      </c>
      <c r="Y28" s="53">
        <v>-77.0</v>
      </c>
      <c r="Z28" s="53">
        <v>-1143.0</v>
      </c>
      <c r="AA28" s="52"/>
      <c r="AB28" s="53">
        <v>-167.0</v>
      </c>
      <c r="AC28" s="53">
        <v>-72.0</v>
      </c>
      <c r="AD28" s="53">
        <v>-352.5</v>
      </c>
      <c r="AE28" s="53">
        <v>-75.0</v>
      </c>
      <c r="AF28" s="52"/>
      <c r="AG28" s="53">
        <v>-72.0</v>
      </c>
      <c r="AH28" s="52"/>
      <c r="AI28" s="53">
        <v>-75.0</v>
      </c>
      <c r="AJ28" s="52"/>
      <c r="AK28" s="52"/>
      <c r="AL28" s="53">
        <f>B28+C28+D28+E28+F28+G28+H28+I28+J28+K28+L28+M28+N28+O28+P28+Q28+R28+S28+T28+U28+V28+W28+X28+Y28+Z28+AA28+AB28+AC28+AD28+AE28+AF28+AG28+AH28+AI28+AJ28+AK28</f>
        <v>-8117.92</v>
      </c>
    </row>
    <row r="29" spans="1:38" ht="16">
      <c r="A29" s="47" t="s">
        <v>26</v>
      </c>
      <c r="B29" s="54">
        <f>B7+B16+B27+B28</f>
        <v>8044.56</v>
      </c>
      <c r="C29" s="54">
        <f>C7+C16+C27+C28</f>
        <v>20812.86</v>
      </c>
      <c r="D29" s="54">
        <f>D7+D16+D27+D28</f>
        <v>45930.82</v>
      </c>
      <c r="E29" s="54">
        <f>E7+E16+E27+E28</f>
        <v>32068.129999999997</v>
      </c>
      <c r="F29" s="54">
        <f>F7+F16+F27+F28</f>
        <v>29610.3</v>
      </c>
      <c r="G29" s="54">
        <f>G7+G16+G27+G28</f>
        <v>36386.229999999996</v>
      </c>
      <c r="H29" s="54">
        <f>H7+H16+H27+H28</f>
        <v>28523.15</v>
      </c>
      <c r="I29" s="54">
        <f>I7+I16+I27+I28</f>
        <v>28743.0</v>
      </c>
      <c r="J29" s="54">
        <f>J7+J16+J27+J28</f>
        <v>34558.51</v>
      </c>
      <c r="K29" s="54">
        <f>K7+K16+K27+K28</f>
        <v>42319.34</v>
      </c>
      <c r="L29" s="54">
        <f>L7+L16+L27+L28</f>
        <v>32489.46</v>
      </c>
      <c r="M29" s="54">
        <f>M7+M16+M27+M28</f>
        <v>29425.0</v>
      </c>
      <c r="N29" s="54">
        <f>N7+N16+N27+N28</f>
        <v>20796.38</v>
      </c>
      <c r="O29" s="54">
        <f>O7+O16+O27+O28</f>
        <v>21274.75</v>
      </c>
      <c r="P29" s="54">
        <f>P7+P16+P27+P28</f>
        <v>31558.15</v>
      </c>
      <c r="Q29" s="54">
        <f>Q7+Q16+Q27+Q28</f>
        <v>24421.51</v>
      </c>
      <c r="R29" s="54">
        <f>R7+R16+R27+R28</f>
        <v>24779.48</v>
      </c>
      <c r="S29" s="54">
        <f>S7+S16+S27+S28</f>
        <v>31942.88</v>
      </c>
      <c r="T29" s="54">
        <f>T7+T16+T27+T28</f>
        <v>23945.67</v>
      </c>
      <c r="U29" s="54">
        <f>U7+U16+U27+U28</f>
        <v>26133.51</v>
      </c>
      <c r="V29" s="54">
        <f>V7+V16+V27+V28</f>
        <v>26429.56</v>
      </c>
      <c r="W29" s="54">
        <f>W7+W16+W27+W28</f>
        <v>35755.67</v>
      </c>
      <c r="X29" s="54">
        <f>X7+X16+X27+X28</f>
        <v>26461.379999999997</v>
      </c>
      <c r="Y29" s="54">
        <f>Y7+Y16+Y27+Y28</f>
        <v>37697.93</v>
      </c>
      <c r="Z29" s="54">
        <f>Z7+Z16+Z27+Z28</f>
        <v>45112.27</v>
      </c>
      <c r="AA29" s="54">
        <f>AA7+AA16+AA27+AA28</f>
        <v>32760.66</v>
      </c>
      <c r="AB29" s="54">
        <f>AB7+AB16+AB27+AB28</f>
        <v>44411.95</v>
      </c>
      <c r="AC29" s="54">
        <f>AC7+AC16+AC27+AC28</f>
        <v>34276.56</v>
      </c>
      <c r="AD29" s="54">
        <f>AD7+AD16+AD27+AD28</f>
        <v>38639.69</v>
      </c>
      <c r="AE29" s="54">
        <f>AE7+AE16+AE27+AE28</f>
        <v>31581.79</v>
      </c>
      <c r="AF29" s="54">
        <f>AF7+AF16+AF27+AF28</f>
        <v>17581.49</v>
      </c>
      <c r="AG29" s="54">
        <f>AG7+AG16+AG27+AG28</f>
        <v>33637.86</v>
      </c>
      <c r="AH29" s="54">
        <f>AH7+AH16+AH27+AH28</f>
        <v>37994.09</v>
      </c>
      <c r="AI29" s="54">
        <f>AI7+AI16+AI27+AI28</f>
        <v>38814.69</v>
      </c>
      <c r="AJ29" s="54">
        <f>AJ7+AJ16+AJ27+AJ28</f>
        <v>34406.81</v>
      </c>
      <c r="AK29" s="54">
        <f>AK7+AK16+AK27+AK28</f>
        <v>13614.82</v>
      </c>
      <c r="AL29" s="55">
        <f>B29+C29+D29+E29+F29+G29+H29+I29+J29+K29+L29+M29+N29+O29+P29+Q29+R29+S29+T29+U29+V29+W29+X29+Y29+Z29+AA29+AB29+AC29+AD29+AE29+AF29+AG29+AH29+AI29+AJ29+AK29</f>
        <v>1102940.9100000001</v>
      </c>
    </row>
    <row r="30" spans="1:38" ht="16">
      <c r="A30" s="41" t="s">
        <v>27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3">
        <v>-5.0</v>
      </c>
      <c r="AC30" s="53">
        <v>967.0</v>
      </c>
      <c r="AD30" s="52"/>
      <c r="AE30" s="52"/>
      <c r="AF30" s="52"/>
      <c r="AG30" s="52"/>
      <c r="AH30" s="52"/>
      <c r="AI30" s="52"/>
      <c r="AJ30" s="52"/>
      <c r="AK30" s="52"/>
      <c r="AL30" s="53">
        <f>B30+C30+D30+E30+F30+G30+H30+I30+J30+K30+L30+M30+N30+O30+P30+Q30+R30+S30+T30+U30+V30+W30+X30+Y30+Z30+AA30+AB30+AC30+AD30+AE30+AF30+AG30+AH30+AI30+AJ30+AK30</f>
        <v>962.0</v>
      </c>
    </row>
    <row r="31" spans="1:38" ht="16">
      <c r="A31" s="48" t="s">
        <v>28</v>
      </c>
      <c r="B31" s="54">
        <f>B6+B29+B30</f>
        <v>8044.56</v>
      </c>
      <c r="C31" s="54">
        <f>C6+C29+C30</f>
        <v>20812.86</v>
      </c>
      <c r="D31" s="54">
        <f>D6+D29+D30</f>
        <v>45930.82</v>
      </c>
      <c r="E31" s="54">
        <f>E6+E29+E30</f>
        <v>32068.129999999997</v>
      </c>
      <c r="F31" s="54">
        <f>F6+F29+F30</f>
        <v>29610.3</v>
      </c>
      <c r="G31" s="54">
        <f>G6+G29+G30</f>
        <v>36386.229999999996</v>
      </c>
      <c r="H31" s="54">
        <f>H6+H29+H30</f>
        <v>28523.15</v>
      </c>
      <c r="I31" s="54">
        <f>I6+I29+I30</f>
        <v>28743.0</v>
      </c>
      <c r="J31" s="54">
        <f>J6+J29+J30</f>
        <v>34558.51</v>
      </c>
      <c r="K31" s="54">
        <f>K6+K29+K30</f>
        <v>42319.34</v>
      </c>
      <c r="L31" s="54">
        <f>L6+L29+L30</f>
        <v>32489.46</v>
      </c>
      <c r="M31" s="54">
        <f>M6+M29+M30</f>
        <v>29425.0</v>
      </c>
      <c r="N31" s="54">
        <f>N6+N29+N30</f>
        <v>20796.38</v>
      </c>
      <c r="O31" s="54">
        <f>O6+O29+O30</f>
        <v>21274.75</v>
      </c>
      <c r="P31" s="54">
        <f>P6+P29+P30</f>
        <v>31558.15</v>
      </c>
      <c r="Q31" s="54">
        <f>Q6+Q29+Q30</f>
        <v>24421.51</v>
      </c>
      <c r="R31" s="54">
        <f>R6+R29+R30</f>
        <v>24779.48</v>
      </c>
      <c r="S31" s="54">
        <f>S6+S29+S30</f>
        <v>31942.88</v>
      </c>
      <c r="T31" s="54">
        <f>T6+T29+T30</f>
        <v>23945.67</v>
      </c>
      <c r="U31" s="54">
        <f>U6+U29+U30</f>
        <v>26133.51</v>
      </c>
      <c r="V31" s="54">
        <f>V6+V29+V30</f>
        <v>26429.56</v>
      </c>
      <c r="W31" s="54">
        <f>W6+W29+W30</f>
        <v>35755.67</v>
      </c>
      <c r="X31" s="54">
        <f>X6+X29+X30</f>
        <v>26461.379999999997</v>
      </c>
      <c r="Y31" s="54">
        <f>Y6+Y29+Y30</f>
        <v>37697.93</v>
      </c>
      <c r="Z31" s="54">
        <f>Z6+Z29+Z30</f>
        <v>45112.27</v>
      </c>
      <c r="AA31" s="54">
        <f>AA6+AA29+AA30</f>
        <v>32760.66</v>
      </c>
      <c r="AB31" s="54">
        <f>AB6+AB29+AB30</f>
        <v>44406.95</v>
      </c>
      <c r="AC31" s="54">
        <f>AC6+AC29+AC30</f>
        <v>35243.56</v>
      </c>
      <c r="AD31" s="54">
        <f>AD6+AD29+AD30</f>
        <v>38639.69</v>
      </c>
      <c r="AE31" s="54">
        <f>AE6+AE29+AE30</f>
        <v>31581.79</v>
      </c>
      <c r="AF31" s="54">
        <f>AF6+AF29+AF30</f>
        <v>17581.49</v>
      </c>
      <c r="AG31" s="54">
        <f>AG6+AG29+AG30</f>
        <v>33637.86</v>
      </c>
      <c r="AH31" s="54">
        <f>AH6+AH29+AH30</f>
        <v>37994.09</v>
      </c>
      <c r="AI31" s="54">
        <f>AI6+AI29+AI30</f>
        <v>38814.69</v>
      </c>
      <c r="AJ31" s="54">
        <f>AJ6+AJ29+AJ30</f>
        <v>34406.81</v>
      </c>
      <c r="AK31" s="54">
        <f>AK6+AK29+AK30</f>
        <v>13614.82</v>
      </c>
      <c r="AL31" s="55">
        <f>B31+C31+D31+E31+F31+G31+H31+I31+J31+K31+L31+M31+N31+O31+P31+Q31+R31+S31+T31+U31+V31+W31+X31+Y31+Z31+AA31+AB31+AC31+AD31+AE31+AF31+AG31+AH31+AI31+AJ31+AK31</f>
        <v>1103902.9100000001</v>
      </c>
    </row>
    <row r="32" spans="1:37" ht="16">
      <c r="A32" s="40" t="s">
        <v>29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</row>
    <row r="33" spans="1:38" ht="16">
      <c r="A33" s="41" t="s">
        <v>30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</row>
    <row r="34" spans="1:38" ht="16">
      <c r="A34" s="42" t="s">
        <v>31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3">
        <v>175.44</v>
      </c>
      <c r="Q34" s="52"/>
      <c r="R34" s="52"/>
      <c r="S34" s="52"/>
      <c r="T34" s="52"/>
      <c r="U34" s="53">
        <v>-14.71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3">
        <v>4.0</v>
      </c>
      <c r="AH34" s="52"/>
      <c r="AI34" s="52"/>
      <c r="AJ34" s="53">
        <v>183.46</v>
      </c>
      <c r="AK34" s="52"/>
      <c r="AL34" s="53">
        <f>B34+C34+D34+E34+F34+G34+H34+I34+J34+K34+L34+M34+N34+O34+P34+Q34+R34+S34+T34+U34+V34+W34+X34+Y34+Z34+AA34+AB34+AC34+AD34+AE34+AF34+AG34+AH34+AI34+AJ34+AK34</f>
        <v>348.19</v>
      </c>
    </row>
    <row r="35" spans="1:38" ht="16">
      <c r="A35" s="43" t="s">
        <v>32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3">
        <v>2081.3</v>
      </c>
      <c r="AJ35" s="52"/>
      <c r="AK35" s="52"/>
      <c r="AL35" s="53">
        <f>B35+C35+D35+E35+F35+G35+H35+I35+J35+K35+L35+M35+N35+O35+P35+Q35+R35+S35+T35+U35+V35+W35+X35+Y35+Z35+AA35+AB35+AC35+AD35+AE35+AF35+AG35+AH35+AI35+AJ35+AK35</f>
        <v>2081.3</v>
      </c>
    </row>
    <row r="36" spans="1:38" ht="16">
      <c r="A36" s="43" t="s">
        <v>33</v>
      </c>
      <c r="B36" s="52"/>
      <c r="C36" s="52"/>
      <c r="D36" s="52"/>
      <c r="E36" s="53">
        <v>-44.56</v>
      </c>
      <c r="F36" s="53">
        <v>2280.6</v>
      </c>
      <c r="G36" s="52"/>
      <c r="H36" s="52"/>
      <c r="I36" s="53">
        <v>168.29</v>
      </c>
      <c r="J36" s="53">
        <v>207.69</v>
      </c>
      <c r="K36" s="53">
        <v>329.92</v>
      </c>
      <c r="L36" s="53">
        <v>66.68</v>
      </c>
      <c r="M36" s="52"/>
      <c r="N36" s="53">
        <v>31.21</v>
      </c>
      <c r="O36" s="52"/>
      <c r="P36" s="53">
        <v>2384.37</v>
      </c>
      <c r="Q36" s="53">
        <v>1571.34</v>
      </c>
      <c r="R36" s="53">
        <v>124.97</v>
      </c>
      <c r="S36" s="53">
        <v>171.92</v>
      </c>
      <c r="T36" s="53">
        <v>-86.51</v>
      </c>
      <c r="U36" s="53">
        <v>464.96</v>
      </c>
      <c r="V36" s="53">
        <v>804.06</v>
      </c>
      <c r="W36" s="52"/>
      <c r="X36" s="52"/>
      <c r="Y36" s="53">
        <v>541.12</v>
      </c>
      <c r="Z36" s="53">
        <v>2737.63</v>
      </c>
      <c r="AA36" s="53">
        <v>52.98</v>
      </c>
      <c r="AB36" s="53">
        <v>58.84</v>
      </c>
      <c r="AC36" s="52"/>
      <c r="AD36" s="53">
        <v>251.82</v>
      </c>
      <c r="AE36" s="53">
        <v>80.29</v>
      </c>
      <c r="AF36" s="52"/>
      <c r="AG36" s="53">
        <v>7.49</v>
      </c>
      <c r="AH36" s="53">
        <v>2576.94</v>
      </c>
      <c r="AI36" s="52"/>
      <c r="AJ36" s="52"/>
      <c r="AK36" s="52"/>
      <c r="AL36" s="53">
        <f>B36+C36+D36+E36+F36+G36+H36+I36+J36+K36+L36+M36+N36+O36+P36+Q36+R36+S36+T36+U36+V36+W36+X36+Y36+Z36+AA36+AB36+AC36+AD36+AE36+AF36+AG36+AH36+AI36+AJ36+AK36</f>
        <v>14782.050000000003</v>
      </c>
    </row>
    <row r="37" spans="1:38" ht="16">
      <c r="A37" s="43" t="s">
        <v>34</v>
      </c>
      <c r="B37" s="52"/>
      <c r="C37" s="52"/>
      <c r="D37" s="52"/>
      <c r="E37" s="52"/>
      <c r="F37" s="52"/>
      <c r="G37" s="52"/>
      <c r="H37" s="52"/>
      <c r="I37" s="53">
        <v>2844.0</v>
      </c>
      <c r="J37" s="52"/>
      <c r="K37" s="53">
        <v>1887.45</v>
      </c>
      <c r="L37" s="53">
        <v>81.34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>
        <v>532.24</v>
      </c>
      <c r="Z37" s="53">
        <v>278.42</v>
      </c>
      <c r="AA37" s="52"/>
      <c r="AB37" s="52"/>
      <c r="AC37" s="53">
        <v>4151.12</v>
      </c>
      <c r="AD37" s="53">
        <v>242.97</v>
      </c>
      <c r="AE37" s="52"/>
      <c r="AF37" s="52"/>
      <c r="AG37" s="52"/>
      <c r="AH37" s="52"/>
      <c r="AI37" s="53">
        <v>631.87</v>
      </c>
      <c r="AJ37" s="52"/>
      <c r="AK37" s="52"/>
      <c r="AL37" s="53">
        <f>B37+C37+D37+E37+F37+G37+H37+I37+J37+K37+L37+M37+N37+O37+P37+Q37+R37+S37+T37+U37+V37+W37+X37+Y37+Z37+AA37+AB37+AC37+AD37+AE37+AF37+AG37+AH37+AI37+AJ37+AK37</f>
        <v>10649.41</v>
      </c>
    </row>
    <row r="38" spans="1:38" ht="16">
      <c r="A38" s="43" t="s">
        <v>35</v>
      </c>
      <c r="B38" s="52"/>
      <c r="C38" s="53">
        <v>138.04</v>
      </c>
      <c r="D38" s="53">
        <v>118.37</v>
      </c>
      <c r="E38" s="53">
        <v>149.63</v>
      </c>
      <c r="F38" s="53">
        <v>552.32</v>
      </c>
      <c r="G38" s="53">
        <v>284.66</v>
      </c>
      <c r="H38" s="53">
        <v>73.22</v>
      </c>
      <c r="I38" s="53">
        <v>323.8</v>
      </c>
      <c r="J38" s="53">
        <v>986.99</v>
      </c>
      <c r="K38" s="53">
        <v>245.98</v>
      </c>
      <c r="L38" s="53">
        <v>2947.58</v>
      </c>
      <c r="M38" s="53">
        <v>363.56</v>
      </c>
      <c r="N38" s="53">
        <v>274.0</v>
      </c>
      <c r="O38" s="53">
        <v>77.23</v>
      </c>
      <c r="P38" s="53">
        <v>135.59</v>
      </c>
      <c r="Q38" s="53">
        <v>653.92</v>
      </c>
      <c r="R38" s="53">
        <v>466.77</v>
      </c>
      <c r="S38" s="53">
        <v>1757.22</v>
      </c>
      <c r="T38" s="53">
        <v>172.05</v>
      </c>
      <c r="U38" s="53">
        <v>537.38</v>
      </c>
      <c r="V38" s="53">
        <v>287.89</v>
      </c>
      <c r="W38" s="53">
        <v>156.96</v>
      </c>
      <c r="X38" s="53">
        <v>732.28</v>
      </c>
      <c r="Y38" s="53">
        <v>366.17</v>
      </c>
      <c r="Z38" s="53">
        <v>1129.86</v>
      </c>
      <c r="AA38" s="53">
        <v>1378.63</v>
      </c>
      <c r="AB38" s="53">
        <v>1411.61</v>
      </c>
      <c r="AC38" s="53">
        <v>1234.56</v>
      </c>
      <c r="AD38" s="53">
        <v>233.97</v>
      </c>
      <c r="AE38" s="53">
        <v>2707.76</v>
      </c>
      <c r="AF38" s="53">
        <v>1134.43</v>
      </c>
      <c r="AG38" s="53">
        <v>294.33</v>
      </c>
      <c r="AH38" s="53">
        <v>724.32</v>
      </c>
      <c r="AI38" s="53">
        <v>80.52</v>
      </c>
      <c r="AJ38" s="52"/>
      <c r="AK38" s="52"/>
      <c r="AL38" s="53">
        <f>B38+C38+D38+E38+F38+G38+H38+I38+J38+K38+L38+M38+N38+O38+P38+Q38+R38+S38+T38+U38+V38+W38+X38+Y38+Z38+AA38+AB38+AC38+AD38+AE38+AF38+AG38+AH38+AI38+AJ38+AK38</f>
        <v>22131.600000000002</v>
      </c>
    </row>
    <row r="39" spans="1:38" ht="16">
      <c r="A39" s="44" t="s">
        <v>36</v>
      </c>
      <c r="B39" s="55">
        <f>B34+B35+B36+B37+B38</f>
        <v>0.0</v>
      </c>
      <c r="C39" s="54">
        <f>C34+C35+C36+C37+C38</f>
        <v>138.04</v>
      </c>
      <c r="D39" s="54">
        <f>D34+D35+D36+D37+D38</f>
        <v>118.37</v>
      </c>
      <c r="E39" s="54">
        <f>E34+E35+E36+E37+E38</f>
        <v>105.07</v>
      </c>
      <c r="F39" s="54">
        <f>F34+F35+F36+F37+F38</f>
        <v>2832.92</v>
      </c>
      <c r="G39" s="54">
        <f>G34+G35+G36+G37+G38</f>
        <v>284.66</v>
      </c>
      <c r="H39" s="54">
        <f>H34+H35+H36+H37+H38</f>
        <v>73.22</v>
      </c>
      <c r="I39" s="54">
        <f>I34+I35+I36+I37+I38</f>
        <v>3336.09</v>
      </c>
      <c r="J39" s="54">
        <f>J34+J35+J36+J37+J38</f>
        <v>1194.68</v>
      </c>
      <c r="K39" s="54">
        <f>K34+K35+K36+K37+K38</f>
        <v>2463.35</v>
      </c>
      <c r="L39" s="54">
        <f>L34+L35+L36+L37+L38</f>
        <v>3095.6</v>
      </c>
      <c r="M39" s="54">
        <f>M34+M35+M36+M37+M38</f>
        <v>363.56</v>
      </c>
      <c r="N39" s="54">
        <f>N34+N35+N36+N37+N38</f>
        <v>305.21</v>
      </c>
      <c r="O39" s="54">
        <f>O34+O35+O36+O37+O38</f>
        <v>77.23</v>
      </c>
      <c r="P39" s="54">
        <f>P34+P35+P36+P37+P38</f>
        <v>2695.4</v>
      </c>
      <c r="Q39" s="54">
        <f>Q34+Q35+Q36+Q37+Q38</f>
        <v>2225.2599999999998</v>
      </c>
      <c r="R39" s="54">
        <f>R34+R35+R36+R37+R38</f>
        <v>591.74</v>
      </c>
      <c r="S39" s="54">
        <f>S34+S35+S36+S37+S38</f>
        <v>1929.14</v>
      </c>
      <c r="T39" s="54">
        <f>T34+T35+T36+T37+T38</f>
        <v>85.54</v>
      </c>
      <c r="U39" s="54">
        <f>U34+U35+U36+U37+U38</f>
        <v>987.63</v>
      </c>
      <c r="V39" s="54">
        <f>V34+V35+V36+V37+V38</f>
        <v>1091.9499999999998</v>
      </c>
      <c r="W39" s="54">
        <f>W34+W35+W36+W37+W38</f>
        <v>156.96</v>
      </c>
      <c r="X39" s="54">
        <f>X34+X35+X36+X37+X38</f>
        <v>732.28</v>
      </c>
      <c r="Y39" s="54">
        <f>Y34+Y35+Y36+Y37+Y38</f>
        <v>1439.5300000000002</v>
      </c>
      <c r="Z39" s="54">
        <f>Z34+Z35+Z36+Z37+Z38</f>
        <v>4145.91</v>
      </c>
      <c r="AA39" s="54">
        <f>AA34+AA35+AA36+AA37+AA38</f>
        <v>1431.6100000000001</v>
      </c>
      <c r="AB39" s="54">
        <f>AB34+AB35+AB36+AB37+AB38</f>
        <v>1470.4499999999998</v>
      </c>
      <c r="AC39" s="54">
        <f>AC34+AC35+AC36+AC37+AC38</f>
        <v>5385.68</v>
      </c>
      <c r="AD39" s="54">
        <f>AD34+AD35+AD36+AD37+AD38</f>
        <v>728.76</v>
      </c>
      <c r="AE39" s="54">
        <f>AE34+AE35+AE36+AE37+AE38</f>
        <v>2788.05</v>
      </c>
      <c r="AF39" s="54">
        <f>AF34+AF35+AF36+AF37+AF38</f>
        <v>1134.43</v>
      </c>
      <c r="AG39" s="54">
        <f>AG34+AG35+AG36+AG37+AG38</f>
        <v>305.82</v>
      </c>
      <c r="AH39" s="54">
        <f>AH34+AH35+AH36+AH37+AH38</f>
        <v>3301.26</v>
      </c>
      <c r="AI39" s="54">
        <f>AI34+AI35+AI36+AI37+AI38</f>
        <v>2793.69</v>
      </c>
      <c r="AJ39" s="54">
        <f>AJ34+AJ35+AJ36+AJ37+AJ38</f>
        <v>183.46</v>
      </c>
      <c r="AK39" s="55">
        <f>AK34+AK35+AK36+AK37+AK38</f>
        <v>0.0</v>
      </c>
      <c r="AL39" s="55">
        <f>B39+C39+D39+E39+F39+G39+H39+I39+J39+K39+L39+M39+N39+O39+P39+Q39+R39+S39+T39+U39+V39+W39+X39+Y39+Z39+AA39+AB39+AC39+AD39+AE39+AF39+AG39+AH39+AI39+AJ39+AK39</f>
        <v>49992.55</v>
      </c>
    </row>
    <row r="40" spans="1:38" ht="16">
      <c r="A40" s="42" t="s">
        <v>37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3">
        <v>500.0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3">
        <f>B40+C40+D40+E40+F40+G40+H40+I40+J40+K40+L40+M40+N40+O40+P40+Q40+R40+S40+T40+U40+V40+W40+X40+Y40+Z40+AA40+AB40+AC40+AD40+AE40+AF40+AG40+AH40+AI40+AJ40+AK40</f>
        <v>500.0</v>
      </c>
    </row>
    <row r="41" spans="1:38" ht="16">
      <c r="A41" s="42" t="s">
        <v>38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>
        <v>50.0</v>
      </c>
      <c r="M41" s="53">
        <v>233.28</v>
      </c>
      <c r="N41" s="52"/>
      <c r="O41" s="52"/>
      <c r="P41" s="52"/>
      <c r="Q41" s="52"/>
      <c r="R41" s="53">
        <v>798.06</v>
      </c>
      <c r="S41" s="53">
        <v>1270.08</v>
      </c>
      <c r="T41" s="52"/>
      <c r="U41" s="52"/>
      <c r="V41" s="52"/>
      <c r="W41" s="52"/>
      <c r="X41" s="53">
        <v>1259.74</v>
      </c>
      <c r="Y41" s="52"/>
      <c r="Z41" s="52"/>
      <c r="AA41" s="52"/>
      <c r="AB41" s="53">
        <v>1324.0</v>
      </c>
      <c r="AC41" s="52"/>
      <c r="AD41" s="52"/>
      <c r="AE41" s="53">
        <v>1270.08</v>
      </c>
      <c r="AF41" s="52"/>
      <c r="AG41" s="52"/>
      <c r="AH41" s="52"/>
      <c r="AI41" s="52"/>
      <c r="AJ41" s="52"/>
      <c r="AK41" s="52"/>
      <c r="AL41" s="53">
        <f>B41+C41+D41+E41+F41+G41+H41+I41+J41+K41+L41+M41+N41+O41+P41+Q41+R41+S41+T41+U41+V41+W41+X41+Y41+Z41+AA41+AB41+AC41+AD41+AE41+AF41+AG41+AH41+AI41+AJ41+AK41</f>
        <v>6205.24</v>
      </c>
    </row>
    <row r="42" spans="1:38" ht="16">
      <c r="A42" s="43" t="s">
        <v>39</v>
      </c>
      <c r="B42" s="52"/>
      <c r="C42" s="52"/>
      <c r="D42" s="52"/>
      <c r="E42" s="52"/>
      <c r="F42" s="52"/>
      <c r="G42" s="52"/>
      <c r="H42" s="52"/>
      <c r="I42" s="52"/>
      <c r="J42" s="52"/>
      <c r="K42" s="53">
        <v>113.97</v>
      </c>
      <c r="L42" s="52"/>
      <c r="M42" s="52"/>
      <c r="N42" s="53">
        <v>44.77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3">
        <f>B42+C42+D42+E42+F42+G42+H42+I42+J42+K42+L42+M42+N42+O42+P42+Q42+R42+S42+T42+U42+V42+W42+X42+Y42+Z42+AA42+AB42+AC42+AD42+AE42+AF42+AG42+AH42+AI42+AJ42+AK42</f>
        <v>158.74</v>
      </c>
    </row>
    <row r="43" spans="1:38" ht="16">
      <c r="A43" s="45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>
        <v>299.65</v>
      </c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3">
        <f>B43+C43+D43+E43+F43+G43+H43+I43+J43+K43+L43+M43+N43+O43+P43+Q43+R43+S43+T43+U43+V43+W43+X43+Y43+Z43+AA43+AB43+AC43+AD43+AE43+AF43+AG43+AH43+AI43+AJ43+AK43</f>
        <v>299.65</v>
      </c>
    </row>
    <row r="44" spans="1:38" ht="16">
      <c r="A44" s="46" t="s">
        <v>41</v>
      </c>
      <c r="B44" s="55">
        <f>B42+B43</f>
        <v>0.0</v>
      </c>
      <c r="C44" s="55">
        <f>C42+C43</f>
        <v>0.0</v>
      </c>
      <c r="D44" s="55">
        <f>D42+D43</f>
        <v>0.0</v>
      </c>
      <c r="E44" s="55">
        <f>E42+E43</f>
        <v>0.0</v>
      </c>
      <c r="F44" s="55">
        <f>F42+F43</f>
        <v>0.0</v>
      </c>
      <c r="G44" s="55">
        <f>G42+G43</f>
        <v>0.0</v>
      </c>
      <c r="H44" s="55">
        <f>H42+H43</f>
        <v>0.0</v>
      </c>
      <c r="I44" s="55">
        <f>I42+I43</f>
        <v>0.0</v>
      </c>
      <c r="J44" s="55">
        <f>J42+J43</f>
        <v>0.0</v>
      </c>
      <c r="K44" s="54">
        <f>K42+K43</f>
        <v>113.97</v>
      </c>
      <c r="L44" s="55">
        <f>L42+L43</f>
        <v>0.0</v>
      </c>
      <c r="M44" s="55">
        <f>M42+M43</f>
        <v>0.0</v>
      </c>
      <c r="N44" s="54">
        <f>N42+N43</f>
        <v>44.77</v>
      </c>
      <c r="O44" s="55">
        <f>O42+O43</f>
        <v>0.0</v>
      </c>
      <c r="P44" s="55">
        <f>P42+P43</f>
        <v>0.0</v>
      </c>
      <c r="Q44" s="55">
        <f>Q42+Q43</f>
        <v>0.0</v>
      </c>
      <c r="R44" s="55">
        <f>R42+R43</f>
        <v>0.0</v>
      </c>
      <c r="S44" s="55">
        <f>S42+S43</f>
        <v>0.0</v>
      </c>
      <c r="T44" s="55">
        <f>T42+T43</f>
        <v>0.0</v>
      </c>
      <c r="U44" s="55">
        <f>U42+U43</f>
        <v>0.0</v>
      </c>
      <c r="V44" s="55">
        <f>V42+V43</f>
        <v>0.0</v>
      </c>
      <c r="W44" s="55">
        <f>W42+W43</f>
        <v>0.0</v>
      </c>
      <c r="X44" s="54">
        <f>X42+X43</f>
        <v>299.65</v>
      </c>
      <c r="Y44" s="55">
        <f>Y42+Y43</f>
        <v>0.0</v>
      </c>
      <c r="Z44" s="55">
        <f>Z42+Z43</f>
        <v>0.0</v>
      </c>
      <c r="AA44" s="55">
        <f>AA42+AA43</f>
        <v>0.0</v>
      </c>
      <c r="AB44" s="55">
        <f>AB42+AB43</f>
        <v>0.0</v>
      </c>
      <c r="AC44" s="55">
        <f>AC42+AC43</f>
        <v>0.0</v>
      </c>
      <c r="AD44" s="55">
        <f>AD42+AD43</f>
        <v>0.0</v>
      </c>
      <c r="AE44" s="55">
        <f>AE42+AE43</f>
        <v>0.0</v>
      </c>
      <c r="AF44" s="55">
        <f>AF42+AF43</f>
        <v>0.0</v>
      </c>
      <c r="AG44" s="55">
        <f>AG42+AG43</f>
        <v>0.0</v>
      </c>
      <c r="AH44" s="55">
        <f>AH42+AH43</f>
        <v>0.0</v>
      </c>
      <c r="AI44" s="55">
        <f>AI42+AI43</f>
        <v>0.0</v>
      </c>
      <c r="AJ44" s="55">
        <f>AJ42+AJ43</f>
        <v>0.0</v>
      </c>
      <c r="AK44" s="55">
        <f>AK42+AK43</f>
        <v>0.0</v>
      </c>
      <c r="AL44" s="55">
        <f>B44+C44+D44+E44+F44+G44+H44+I44+J44+K44+L44+M44+N44+O44+P44+Q44+R44+S44+T44+U44+V44+W44+X44+Y44+Z44+AA44+AB44+AC44+AD44+AE44+AF44+AG44+AH44+AI44+AJ44+AK44</f>
        <v>458.39</v>
      </c>
    </row>
    <row r="45" spans="1:38" ht="16">
      <c r="A45" s="43" t="s">
        <v>42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</row>
    <row r="46" spans="1:38" ht="16">
      <c r="A46" s="45" t="s">
        <v>43</v>
      </c>
      <c r="B46" s="52"/>
      <c r="C46" s="52"/>
      <c r="D46" s="52"/>
      <c r="E46" s="52"/>
      <c r="F46" s="52"/>
      <c r="G46" s="52"/>
      <c r="H46" s="53">
        <v>208.53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3">
        <f>B46+C46+D46+E46+F46+G46+H46+I46+J46+K46+L46+M46+N46+O46+P46+Q46+R46+S46+T46+U46+V46+W46+X46+Y46+Z46+AA46+AB46+AC46+AD46+AE46+AF46+AG46+AH46+AI46+AJ46+AK46</f>
        <v>208.53</v>
      </c>
    </row>
    <row r="47" spans="1:38" ht="16">
      <c r="A47" s="46" t="s">
        <v>44</v>
      </c>
      <c r="B47" s="55">
        <f>B45+B46</f>
        <v>0.0</v>
      </c>
      <c r="C47" s="55">
        <f>C45+C46</f>
        <v>0.0</v>
      </c>
      <c r="D47" s="55">
        <f>D45+D46</f>
        <v>0.0</v>
      </c>
      <c r="E47" s="55">
        <f>E45+E46</f>
        <v>0.0</v>
      </c>
      <c r="F47" s="55">
        <f>F45+F46</f>
        <v>0.0</v>
      </c>
      <c r="G47" s="55">
        <f>G45+G46</f>
        <v>0.0</v>
      </c>
      <c r="H47" s="54">
        <f>H45+H46</f>
        <v>208.53</v>
      </c>
      <c r="I47" s="55">
        <f>I45+I46</f>
        <v>0.0</v>
      </c>
      <c r="J47" s="55">
        <f>J45+J46</f>
        <v>0.0</v>
      </c>
      <c r="K47" s="55">
        <f>K45+K46</f>
        <v>0.0</v>
      </c>
      <c r="L47" s="55">
        <f>L45+L46</f>
        <v>0.0</v>
      </c>
      <c r="M47" s="55">
        <f>M45+M46</f>
        <v>0.0</v>
      </c>
      <c r="N47" s="55">
        <f>N45+N46</f>
        <v>0.0</v>
      </c>
      <c r="O47" s="55">
        <f>O45+O46</f>
        <v>0.0</v>
      </c>
      <c r="P47" s="55">
        <f>P45+P46</f>
        <v>0.0</v>
      </c>
      <c r="Q47" s="55">
        <f>Q45+Q46</f>
        <v>0.0</v>
      </c>
      <c r="R47" s="55">
        <f>R45+R46</f>
        <v>0.0</v>
      </c>
      <c r="S47" s="55">
        <f>S45+S46</f>
        <v>0.0</v>
      </c>
      <c r="T47" s="55">
        <f>T45+T46</f>
        <v>0.0</v>
      </c>
      <c r="U47" s="55">
        <f>U45+U46</f>
        <v>0.0</v>
      </c>
      <c r="V47" s="55">
        <f>V45+V46</f>
        <v>0.0</v>
      </c>
      <c r="W47" s="55">
        <f>W45+W46</f>
        <v>0.0</v>
      </c>
      <c r="X47" s="55">
        <f>X45+X46</f>
        <v>0.0</v>
      </c>
      <c r="Y47" s="55">
        <f>Y45+Y46</f>
        <v>0.0</v>
      </c>
      <c r="Z47" s="55">
        <f>Z45+Z46</f>
        <v>0.0</v>
      </c>
      <c r="AA47" s="55">
        <f>AA45+AA46</f>
        <v>0.0</v>
      </c>
      <c r="AB47" s="55">
        <f>AB45+AB46</f>
        <v>0.0</v>
      </c>
      <c r="AC47" s="55">
        <f>AC45+AC46</f>
        <v>0.0</v>
      </c>
      <c r="AD47" s="55">
        <f>AD45+AD46</f>
        <v>0.0</v>
      </c>
      <c r="AE47" s="55">
        <f>AE45+AE46</f>
        <v>0.0</v>
      </c>
      <c r="AF47" s="55">
        <f>AF45+AF46</f>
        <v>0.0</v>
      </c>
      <c r="AG47" s="55">
        <f>AG45+AG46</f>
        <v>0.0</v>
      </c>
      <c r="AH47" s="55">
        <f>AH45+AH46</f>
        <v>0.0</v>
      </c>
      <c r="AI47" s="55">
        <f>AI45+AI46</f>
        <v>0.0</v>
      </c>
      <c r="AJ47" s="55">
        <f>AJ45+AJ46</f>
        <v>0.0</v>
      </c>
      <c r="AK47" s="55">
        <f>AK45+AK46</f>
        <v>0.0</v>
      </c>
      <c r="AL47" s="55">
        <f>B47+C47+D47+E47+F47+G47+H47+I47+J47+K47+L47+M47+N47+O47+P47+Q47+R47+S47+T47+U47+V47+W47+X47+Y47+Z47+AA47+AB47+AC47+AD47+AE47+AF47+AG47+AH47+AI47+AJ47+AK47</f>
        <v>208.53</v>
      </c>
    </row>
    <row r="48" spans="1:38" ht="16">
      <c r="A48" s="44" t="s">
        <v>45</v>
      </c>
      <c r="B48" s="55">
        <f>B41+B44+B47</f>
        <v>0.0</v>
      </c>
      <c r="C48" s="55">
        <f>C41+C44+C47</f>
        <v>0.0</v>
      </c>
      <c r="D48" s="55">
        <f>D41+D44+D47</f>
        <v>0.0</v>
      </c>
      <c r="E48" s="55">
        <f>E41+E44+E47</f>
        <v>0.0</v>
      </c>
      <c r="F48" s="55">
        <f>F41+F44+F47</f>
        <v>0.0</v>
      </c>
      <c r="G48" s="55">
        <f>G41+G44+G47</f>
        <v>0.0</v>
      </c>
      <c r="H48" s="54">
        <f>H41+H44+H47</f>
        <v>208.53</v>
      </c>
      <c r="I48" s="55">
        <f>I41+I44+I47</f>
        <v>0.0</v>
      </c>
      <c r="J48" s="55">
        <f>J41+J44+J47</f>
        <v>0.0</v>
      </c>
      <c r="K48" s="54">
        <f>K41+K44+K47</f>
        <v>113.97</v>
      </c>
      <c r="L48" s="54">
        <f>L41+L44+L47</f>
        <v>50.0</v>
      </c>
      <c r="M48" s="54">
        <f>M41+M44+M47</f>
        <v>233.28</v>
      </c>
      <c r="N48" s="54">
        <f>N41+N44+N47</f>
        <v>44.77</v>
      </c>
      <c r="O48" s="55">
        <f>O41+O44+O47</f>
        <v>0.0</v>
      </c>
      <c r="P48" s="55">
        <f>P41+P44+P47</f>
        <v>0.0</v>
      </c>
      <c r="Q48" s="55">
        <f>Q41+Q44+Q47</f>
        <v>0.0</v>
      </c>
      <c r="R48" s="54">
        <f>R41+R44+R47</f>
        <v>798.06</v>
      </c>
      <c r="S48" s="54">
        <f>S41+S44+S47</f>
        <v>1270.08</v>
      </c>
      <c r="T48" s="55">
        <f>T41+T44+T47</f>
        <v>0.0</v>
      </c>
      <c r="U48" s="55">
        <f>U41+U44+U47</f>
        <v>0.0</v>
      </c>
      <c r="V48" s="55">
        <f>V41+V44+V47</f>
        <v>0.0</v>
      </c>
      <c r="W48" s="55">
        <f>W41+W44+W47</f>
        <v>0.0</v>
      </c>
      <c r="X48" s="54">
        <f>X41+X44+X47</f>
        <v>1559.3899999999999</v>
      </c>
      <c r="Y48" s="55">
        <f>Y41+Y44+Y47</f>
        <v>0.0</v>
      </c>
      <c r="Z48" s="55">
        <f>Z41+Z44+Z47</f>
        <v>0.0</v>
      </c>
      <c r="AA48" s="55">
        <f>AA41+AA44+AA47</f>
        <v>0.0</v>
      </c>
      <c r="AB48" s="54">
        <f>AB41+AB44+AB47</f>
        <v>1324.0</v>
      </c>
      <c r="AC48" s="55">
        <f>AC41+AC44+AC47</f>
        <v>0.0</v>
      </c>
      <c r="AD48" s="55">
        <f>AD41+AD44+AD47</f>
        <v>0.0</v>
      </c>
      <c r="AE48" s="54">
        <f>AE41+AE44+AE47</f>
        <v>1270.08</v>
      </c>
      <c r="AF48" s="55">
        <f>AF41+AF44+AF47</f>
        <v>0.0</v>
      </c>
      <c r="AG48" s="55">
        <f>AG41+AG44+AG47</f>
        <v>0.0</v>
      </c>
      <c r="AH48" s="55">
        <f>AH41+AH44+AH47</f>
        <v>0.0</v>
      </c>
      <c r="AI48" s="55">
        <f>AI41+AI44+AI47</f>
        <v>0.0</v>
      </c>
      <c r="AJ48" s="55">
        <f>AJ41+AJ44+AJ47</f>
        <v>0.0</v>
      </c>
      <c r="AK48" s="55">
        <f>AK41+AK44+AK47</f>
        <v>0.0</v>
      </c>
      <c r="AL48" s="55">
        <f>B48+C48+D48+E48+F48+G48+H48+I48+J48+K48+L48+M48+N48+O48+P48+Q48+R48+S48+T48+U48+V48+W48+X48+Y48+Z48+AA48+AB48+AC48+AD48+AE48+AF48+AG48+AH48+AI48+AJ48+AK48</f>
        <v>6872.16</v>
      </c>
    </row>
    <row r="49" spans="1:38" ht="16">
      <c r="A49" s="47" t="s">
        <v>46</v>
      </c>
      <c r="B49" s="55">
        <f>B33+B39+B40+B48</f>
        <v>0.0</v>
      </c>
      <c r="C49" s="54">
        <f>C33+C39+C40+C48</f>
        <v>138.04</v>
      </c>
      <c r="D49" s="54">
        <f>D33+D39+D40+D48</f>
        <v>118.37</v>
      </c>
      <c r="E49" s="54">
        <f>E33+E39+E40+E48</f>
        <v>105.07</v>
      </c>
      <c r="F49" s="54">
        <f>F33+F39+F40+F48</f>
        <v>2832.92</v>
      </c>
      <c r="G49" s="54">
        <f>G33+G39+G40+G48</f>
        <v>284.66</v>
      </c>
      <c r="H49" s="54">
        <f>H33+H39+H40+H48</f>
        <v>281.75</v>
      </c>
      <c r="I49" s="54">
        <f>I33+I39+I40+I48</f>
        <v>3336.09</v>
      </c>
      <c r="J49" s="54">
        <f>J33+J39+J40+J48</f>
        <v>1194.68</v>
      </c>
      <c r="K49" s="54">
        <f>K33+K39+K40+K48</f>
        <v>2577.3199999999997</v>
      </c>
      <c r="L49" s="54">
        <f>L33+L39+L40+L48</f>
        <v>3645.6</v>
      </c>
      <c r="M49" s="54">
        <f>M33+M39+M40+M48</f>
        <v>596.84</v>
      </c>
      <c r="N49" s="54">
        <f>N33+N39+N40+N48</f>
        <v>349.97999999999996</v>
      </c>
      <c r="O49" s="54">
        <f>O33+O39+O40+O48</f>
        <v>77.23</v>
      </c>
      <c r="P49" s="54">
        <f>P33+P39+P40+P48</f>
        <v>2695.4</v>
      </c>
      <c r="Q49" s="54">
        <f>Q33+Q39+Q40+Q48</f>
        <v>2225.2599999999998</v>
      </c>
      <c r="R49" s="54">
        <f>R33+R39+R40+R48</f>
        <v>1389.8</v>
      </c>
      <c r="S49" s="54">
        <f>S33+S39+S40+S48</f>
        <v>3199.2200000000003</v>
      </c>
      <c r="T49" s="54">
        <f>T33+T39+T40+T48</f>
        <v>85.54</v>
      </c>
      <c r="U49" s="54">
        <f>U33+U39+U40+U48</f>
        <v>987.63</v>
      </c>
      <c r="V49" s="54">
        <f>V33+V39+V40+V48</f>
        <v>1091.9499999999998</v>
      </c>
      <c r="W49" s="54">
        <f>W33+W39+W40+W48</f>
        <v>156.96</v>
      </c>
      <c r="X49" s="54">
        <f>X33+X39+X40+X48</f>
        <v>2291.67</v>
      </c>
      <c r="Y49" s="54">
        <f>Y33+Y39+Y40+Y48</f>
        <v>1439.5300000000002</v>
      </c>
      <c r="Z49" s="54">
        <f>Z33+Z39+Z40+Z48</f>
        <v>4145.91</v>
      </c>
      <c r="AA49" s="54">
        <f>AA33+AA39+AA40+AA48</f>
        <v>1431.6100000000001</v>
      </c>
      <c r="AB49" s="54">
        <f>AB33+AB39+AB40+AB48</f>
        <v>2794.45</v>
      </c>
      <c r="AC49" s="54">
        <f>AC33+AC39+AC40+AC48</f>
        <v>5385.68</v>
      </c>
      <c r="AD49" s="54">
        <f>AD33+AD39+AD40+AD48</f>
        <v>728.76</v>
      </c>
      <c r="AE49" s="54">
        <f>AE33+AE39+AE40+AE48</f>
        <v>4058.13</v>
      </c>
      <c r="AF49" s="54">
        <f>AF33+AF39+AF40+AF48</f>
        <v>1134.43</v>
      </c>
      <c r="AG49" s="54">
        <f>AG33+AG39+AG40+AG48</f>
        <v>305.82</v>
      </c>
      <c r="AH49" s="54">
        <f>AH33+AH39+AH40+AH48</f>
        <v>3301.26</v>
      </c>
      <c r="AI49" s="54">
        <f>AI33+AI39+AI40+AI48</f>
        <v>2793.69</v>
      </c>
      <c r="AJ49" s="54">
        <f>AJ33+AJ39+AJ40+AJ48</f>
        <v>183.46</v>
      </c>
      <c r="AK49" s="55">
        <f>AK33+AK39+AK40+AK48</f>
        <v>0.0</v>
      </c>
      <c r="AL49" s="55">
        <f>B49+C49+D49+E49+F49+G49+H49+I49+J49+K49+L49+M49+N49+O49+P49+Q49+R49+S49+T49+U49+V49+W49+X49+Y49+Z49+AA49+AB49+AC49+AD49+AE49+AF49+AG49+AH49+AI49+AJ49+AK49</f>
        <v>57364.71</v>
      </c>
    </row>
    <row r="50" spans="1:38" ht="16">
      <c r="A50" s="41" t="s">
        <v>47</v>
      </c>
      <c r="B50" s="53">
        <v>177.0</v>
      </c>
      <c r="C50" s="53">
        <v>628.0</v>
      </c>
      <c r="D50" s="53">
        <v>760.0</v>
      </c>
      <c r="E50" s="53">
        <v>500.0</v>
      </c>
      <c r="F50" s="53">
        <v>779.0</v>
      </c>
      <c r="G50" s="53">
        <v>780.0</v>
      </c>
      <c r="H50" s="53">
        <v>484.0</v>
      </c>
      <c r="I50" s="53">
        <v>547.0</v>
      </c>
      <c r="J50" s="53">
        <v>556.0</v>
      </c>
      <c r="K50" s="53">
        <v>739.0</v>
      </c>
      <c r="L50" s="53">
        <v>590.0</v>
      </c>
      <c r="M50" s="53">
        <v>305.0</v>
      </c>
      <c r="N50" s="53">
        <v>563.0</v>
      </c>
      <c r="O50" s="53">
        <v>495.0</v>
      </c>
      <c r="P50" s="53">
        <v>277.0</v>
      </c>
      <c r="Q50" s="53">
        <v>725.32</v>
      </c>
      <c r="R50" s="53">
        <v>640.0</v>
      </c>
      <c r="S50" s="53">
        <v>502.0</v>
      </c>
      <c r="T50" s="53">
        <v>760.0</v>
      </c>
      <c r="U50" s="53">
        <v>388.0</v>
      </c>
      <c r="V50" s="53">
        <v>427.0</v>
      </c>
      <c r="W50" s="53">
        <v>590.0</v>
      </c>
      <c r="X50" s="53">
        <v>296.0</v>
      </c>
      <c r="Y50" s="53">
        <v>786.0</v>
      </c>
      <c r="Z50" s="53">
        <v>761.0</v>
      </c>
      <c r="AA50" s="53">
        <v>908.0</v>
      </c>
      <c r="AB50" s="53">
        <v>435.0</v>
      </c>
      <c r="AC50" s="53">
        <v>842.0</v>
      </c>
      <c r="AD50" s="53">
        <v>588.0</v>
      </c>
      <c r="AE50" s="53">
        <v>243.0</v>
      </c>
      <c r="AF50" s="53">
        <v>1864.0</v>
      </c>
      <c r="AG50" s="53">
        <v>645.0</v>
      </c>
      <c r="AH50" s="53">
        <v>434.0</v>
      </c>
      <c r="AI50" s="53">
        <v>462.0</v>
      </c>
      <c r="AJ50" s="53">
        <v>1005.0</v>
      </c>
      <c r="AK50" s="52"/>
      <c r="AL50" s="53">
        <f>B50+C50+D50+E50+F50+G50+H50+I50+J50+K50+L50+M50+N50+O50+P50+Q50+R50+S50+T50+U50+V50+W50+X50+Y50+Z50+AA50+AB50+AC50+AD50+AE50+AF50+AG50+AH50+AI50+AJ50+AK50</f>
        <v>21481.32</v>
      </c>
    </row>
    <row r="51" spans="1:38" ht="16">
      <c r="A51" s="41" t="s">
        <v>48</v>
      </c>
      <c r="B51" s="52"/>
      <c r="C51" s="52"/>
      <c r="D51" s="53">
        <v>492.63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3">
        <f>B51+C51+D51+E51+F51+G51+H51+I51+J51+K51+L51+M51+N51+O51+P51+Q51+R51+S51+T51+U51+V51+W51+X51+Y51+Z51+AA51+AB51+AC51+AD51+AE51+AF51+AG51+AH51+AI51+AJ51+AK51</f>
        <v>492.63</v>
      </c>
    </row>
    <row r="52" spans="1:38" ht="16">
      <c r="A52" s="41" t="s">
        <v>49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</row>
    <row r="53" spans="1:38" ht="16">
      <c r="A53" s="42" t="s">
        <v>50</v>
      </c>
      <c r="B53" s="52"/>
      <c r="C53" s="52"/>
      <c r="D53" s="53">
        <v>24477.87</v>
      </c>
      <c r="E53" s="52"/>
      <c r="F53" s="53">
        <v>23511.51</v>
      </c>
      <c r="G53" s="52"/>
      <c r="H53" s="53">
        <v>19938.77</v>
      </c>
      <c r="I53" s="52"/>
      <c r="J53" s="53">
        <v>20133.23</v>
      </c>
      <c r="K53" s="53">
        <v>125.0</v>
      </c>
      <c r="L53" s="53">
        <v>23948.93</v>
      </c>
      <c r="M53" s="53">
        <v>2533.64</v>
      </c>
      <c r="N53" s="53">
        <v>18383.3</v>
      </c>
      <c r="O53" s="52"/>
      <c r="P53" s="53">
        <v>18444.57</v>
      </c>
      <c r="Q53" s="52"/>
      <c r="R53" s="53">
        <v>17410.73</v>
      </c>
      <c r="S53" s="52"/>
      <c r="T53" s="53">
        <v>20405.25</v>
      </c>
      <c r="U53" s="52"/>
      <c r="V53" s="53">
        <v>16058.52</v>
      </c>
      <c r="W53" s="52"/>
      <c r="X53" s="53">
        <v>23811.01</v>
      </c>
      <c r="Y53" s="52"/>
      <c r="Z53" s="53">
        <v>22043.62</v>
      </c>
      <c r="AA53" s="53">
        <v>1600.0</v>
      </c>
      <c r="AB53" s="53">
        <v>23985.09</v>
      </c>
      <c r="AC53" s="52"/>
      <c r="AD53" s="53">
        <v>30407.47</v>
      </c>
      <c r="AE53" s="52"/>
      <c r="AF53" s="53">
        <v>23317.8</v>
      </c>
      <c r="AG53" s="52"/>
      <c r="AH53" s="53">
        <v>25023.57</v>
      </c>
      <c r="AI53" s="52"/>
      <c r="AJ53" s="53">
        <v>32083.84</v>
      </c>
      <c r="AK53" s="52"/>
      <c r="AL53" s="53">
        <f>B53+C53+D53+E53+F53+G53+H53+I53+J53+K53+L53+M53+N53+O53+P53+Q53+R53+S53+T53+U53+V53+W53+X53+Y53+Z53+AA53+AB53+AC53+AD53+AE53+AF53+AG53+AH53+AI53+AJ53+AK53</f>
        <v>387643.72000000003</v>
      </c>
    </row>
    <row r="54" spans="1:38" ht="16">
      <c r="A54" s="42" t="s">
        <v>51</v>
      </c>
      <c r="B54" s="52"/>
      <c r="C54" s="52"/>
      <c r="D54" s="53">
        <v>1972.38</v>
      </c>
      <c r="E54" s="52"/>
      <c r="F54" s="53">
        <v>1933.44</v>
      </c>
      <c r="G54" s="52"/>
      <c r="H54" s="53">
        <v>1681.84</v>
      </c>
      <c r="I54" s="52"/>
      <c r="J54" s="53">
        <v>1635.43</v>
      </c>
      <c r="K54" s="53">
        <v>10.75</v>
      </c>
      <c r="L54" s="53">
        <v>1924.09</v>
      </c>
      <c r="M54" s="57">
        <v>0</v>
      </c>
      <c r="N54" s="53">
        <v>1446.92</v>
      </c>
      <c r="O54" s="53">
        <v>-25.44</v>
      </c>
      <c r="P54" s="53">
        <v>1438.97</v>
      </c>
      <c r="Q54" s="52"/>
      <c r="R54" s="53">
        <v>879.28</v>
      </c>
      <c r="S54" s="53">
        <v>-16.34</v>
      </c>
      <c r="T54" s="53">
        <v>1594.75</v>
      </c>
      <c r="U54" s="52"/>
      <c r="V54" s="53">
        <v>1298.58</v>
      </c>
      <c r="W54" s="53">
        <v>-23.47</v>
      </c>
      <c r="X54" s="53">
        <v>1960.54</v>
      </c>
      <c r="Y54" s="52"/>
      <c r="Z54" s="53">
        <v>1765.61</v>
      </c>
      <c r="AA54" s="53">
        <v>126.97</v>
      </c>
      <c r="AB54" s="53">
        <v>1926.43</v>
      </c>
      <c r="AC54" s="52"/>
      <c r="AD54" s="53">
        <v>2424.72</v>
      </c>
      <c r="AE54" s="52"/>
      <c r="AF54" s="53">
        <v>1820.32</v>
      </c>
      <c r="AG54" s="53">
        <v>-53.62</v>
      </c>
      <c r="AH54" s="53">
        <v>1979.06</v>
      </c>
      <c r="AI54" s="52"/>
      <c r="AJ54" s="53">
        <v>2561.1</v>
      </c>
      <c r="AK54" s="53">
        <v>-15.55</v>
      </c>
      <c r="AL54" s="53">
        <f>B54+C54+D54+E54+F54+G54+H54+I54+J54+K54+L54+M54+N54+O54+P54+Q54+R54+S54+T54+U54+V54+W54+X54+Y54+Z54+AA54+AB54+AC54+AD54+AE54+AF54+AG54+AH54+AI54+AJ54+AK54</f>
        <v>30246.760000000006</v>
      </c>
    </row>
    <row r="55" spans="1:38" ht="16">
      <c r="A55" s="42" t="s">
        <v>52</v>
      </c>
      <c r="B55" s="52"/>
      <c r="C55" s="52"/>
      <c r="D55" s="52"/>
      <c r="E55" s="52"/>
      <c r="F55" s="52"/>
      <c r="G55" s="52"/>
      <c r="H55" s="52"/>
      <c r="I55" s="52"/>
      <c r="J55" s="52"/>
      <c r="K55" s="53">
        <v>1903.52</v>
      </c>
      <c r="L55" s="52"/>
      <c r="M55" s="52"/>
      <c r="N55" s="52"/>
      <c r="O55" s="52"/>
      <c r="P55" s="52"/>
      <c r="Q55" s="52"/>
      <c r="R55" s="53">
        <v>1488.36</v>
      </c>
      <c r="S55" s="52"/>
      <c r="T55" s="53">
        <v>270.0</v>
      </c>
      <c r="U55" s="52"/>
      <c r="V55" s="52"/>
      <c r="W55" s="52"/>
      <c r="X55" s="52"/>
      <c r="Y55" s="52"/>
      <c r="Z55" s="52"/>
      <c r="AA55" s="52"/>
      <c r="AB55" s="52"/>
      <c r="AC55" s="53">
        <v>1000.0</v>
      </c>
      <c r="AD55" s="53">
        <v>3325.0</v>
      </c>
      <c r="AE55" s="53">
        <v>150.0</v>
      </c>
      <c r="AF55" s="52"/>
      <c r="AG55" s="52"/>
      <c r="AH55" s="52"/>
      <c r="AI55" s="52"/>
      <c r="AJ55" s="52"/>
      <c r="AK55" s="52"/>
      <c r="AL55" s="53">
        <f>B55+C55+D55+E55+F55+G55+H55+I55+J55+K55+L55+M55+N55+O55+P55+Q55+R55+S55+T55+U55+V55+W55+X55+Y55+Z55+AA55+AB55+AC55+AD55+AE55+AF55+AG55+AH55+AI55+AJ55+AK55</f>
        <v>8136.88</v>
      </c>
    </row>
    <row r="56" spans="1:38" ht="16">
      <c r="A56" s="47" t="s">
        <v>53</v>
      </c>
      <c r="B56" s="55">
        <f>B52+B53+B54+B55</f>
        <v>0.0</v>
      </c>
      <c r="C56" s="55">
        <f>C52+C53+C54+C55</f>
        <v>0.0</v>
      </c>
      <c r="D56" s="54">
        <f>D52+D53+D54+D55</f>
        <v>26450.25</v>
      </c>
      <c r="E56" s="55">
        <f>E52+E53+E54+E55</f>
        <v>0.0</v>
      </c>
      <c r="F56" s="54">
        <f>F52+F53+F54+F55</f>
        <v>25444.949999999997</v>
      </c>
      <c r="G56" s="55">
        <f>G52+G53+G54+G55</f>
        <v>0.0</v>
      </c>
      <c r="H56" s="54">
        <f>H52+H53+H54+H55</f>
        <v>21620.61</v>
      </c>
      <c r="I56" s="55">
        <f>I52+I53+I54+I55</f>
        <v>0.0</v>
      </c>
      <c r="J56" s="54">
        <f>J52+J53+J54+J55</f>
        <v>21768.66</v>
      </c>
      <c r="K56" s="54">
        <f>K52+K53+K54+K55</f>
        <v>2039.27</v>
      </c>
      <c r="L56" s="54">
        <f>L52+L53+L54+L55</f>
        <v>25873.02</v>
      </c>
      <c r="M56" s="54">
        <f>M52+M53+M54+M55</f>
        <v>2533.64</v>
      </c>
      <c r="N56" s="54">
        <f>N52+N53+N54+N55</f>
        <v>19830.22</v>
      </c>
      <c r="O56" s="54">
        <f>O52+O53+O54+O55</f>
        <v>-25.44</v>
      </c>
      <c r="P56" s="54">
        <f>P52+P53+P54+P55</f>
        <v>19883.54</v>
      </c>
      <c r="Q56" s="55">
        <f>Q52+Q53+Q54+Q55</f>
        <v>0.0</v>
      </c>
      <c r="R56" s="54">
        <f>R52+R53+R54+R55</f>
        <v>19778.37</v>
      </c>
      <c r="S56" s="54">
        <f>S52+S53+S54+S55</f>
        <v>-16.34</v>
      </c>
      <c r="T56" s="54">
        <f>T52+T53+T54+T55</f>
        <v>22270.0</v>
      </c>
      <c r="U56" s="55">
        <f>U52+U53+U54+U55</f>
        <v>0.0</v>
      </c>
      <c r="V56" s="54">
        <f>V52+V53+V54+V55</f>
        <v>17357.1</v>
      </c>
      <c r="W56" s="54">
        <f>W52+W53+W54+W55</f>
        <v>-23.47</v>
      </c>
      <c r="X56" s="54">
        <f>X52+X53+X54+X55</f>
        <v>25771.55</v>
      </c>
      <c r="Y56" s="55">
        <f>Y52+Y53+Y54+Y55</f>
        <v>0.0</v>
      </c>
      <c r="Z56" s="54">
        <f>Z52+Z53+Z54+Z55</f>
        <v>23809.23</v>
      </c>
      <c r="AA56" s="54">
        <f>AA52+AA53+AA54+AA55</f>
        <v>1726.97</v>
      </c>
      <c r="AB56" s="54">
        <f>AB52+AB53+AB54+AB55</f>
        <v>25911.52</v>
      </c>
      <c r="AC56" s="54">
        <f>AC52+AC53+AC54+AC55</f>
        <v>1000.0</v>
      </c>
      <c r="AD56" s="54">
        <f>AD52+AD53+AD54+AD55</f>
        <v>36157.19</v>
      </c>
      <c r="AE56" s="54">
        <f>AE52+AE53+AE54+AE55</f>
        <v>150.0</v>
      </c>
      <c r="AF56" s="54">
        <f>AF52+AF53+AF54+AF55</f>
        <v>25138.12</v>
      </c>
      <c r="AG56" s="54">
        <f>AG52+AG53+AG54+AG55</f>
        <v>-53.62</v>
      </c>
      <c r="AH56" s="54">
        <f>AH52+AH53+AH54+AH55</f>
        <v>27002.63</v>
      </c>
      <c r="AI56" s="55">
        <f>AI52+AI53+AI54+AI55</f>
        <v>0.0</v>
      </c>
      <c r="AJ56" s="54">
        <f>AJ52+AJ53+AJ54+AJ55</f>
        <v>34644.94</v>
      </c>
      <c r="AK56" s="54">
        <f>AK52+AK53+AK54+AK55</f>
        <v>-15.55</v>
      </c>
      <c r="AL56" s="55">
        <f>B56+C56+D56+E56+F56+G56+H56+I56+J56+K56+L56+M56+N56+O56+P56+Q56+R56+S56+T56+U56+V56+W56+X56+Y56+Z56+AA56+AB56+AC56+AD56+AE56+AF56+AG56+AH56+AI56+AJ56+AK56</f>
        <v>426027.36</v>
      </c>
    </row>
    <row r="57" spans="1:38" ht="16">
      <c r="A57" s="41" t="s">
        <v>54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</row>
    <row r="58" spans="1:38" ht="16">
      <c r="A58" s="42" t="s">
        <v>55</v>
      </c>
      <c r="B58" s="53">
        <v>225.21</v>
      </c>
      <c r="C58" s="53">
        <v>501.37</v>
      </c>
      <c r="D58" s="53">
        <v>733.82</v>
      </c>
      <c r="E58" s="53">
        <v>777.57</v>
      </c>
      <c r="F58" s="53">
        <v>963.61</v>
      </c>
      <c r="G58" s="53">
        <v>732.27</v>
      </c>
      <c r="H58" s="53">
        <v>1046.97</v>
      </c>
      <c r="I58" s="53">
        <v>752.92</v>
      </c>
      <c r="J58" s="53">
        <v>876.44</v>
      </c>
      <c r="K58" s="53">
        <v>947.91</v>
      </c>
      <c r="L58" s="53">
        <v>1052.43</v>
      </c>
      <c r="M58" s="53">
        <v>796.56</v>
      </c>
      <c r="N58" s="53">
        <v>921.93</v>
      </c>
      <c r="O58" s="53">
        <v>802.83</v>
      </c>
      <c r="P58" s="53">
        <v>1139.22</v>
      </c>
      <c r="Q58" s="53">
        <v>962.56</v>
      </c>
      <c r="R58" s="53">
        <v>955.8</v>
      </c>
      <c r="S58" s="53">
        <v>1496.71</v>
      </c>
      <c r="T58" s="53">
        <v>1112.99</v>
      </c>
      <c r="U58" s="53">
        <v>1298.91</v>
      </c>
      <c r="V58" s="53">
        <v>1275.57</v>
      </c>
      <c r="W58" s="53">
        <v>1107.36</v>
      </c>
      <c r="X58" s="53">
        <v>804.59</v>
      </c>
      <c r="Y58" s="53">
        <v>1262.36</v>
      </c>
      <c r="Z58" s="53">
        <v>1016.35</v>
      </c>
      <c r="AA58" s="53">
        <v>1139.08</v>
      </c>
      <c r="AB58" s="53">
        <v>870.78</v>
      </c>
      <c r="AC58" s="53">
        <v>2068.76</v>
      </c>
      <c r="AD58" s="53">
        <v>1321.85</v>
      </c>
      <c r="AE58" s="53">
        <v>860.64</v>
      </c>
      <c r="AF58" s="53">
        <v>799.04</v>
      </c>
      <c r="AG58" s="53">
        <v>1223.37</v>
      </c>
      <c r="AH58" s="53">
        <v>500.03</v>
      </c>
      <c r="AI58" s="53">
        <v>1373.33</v>
      </c>
      <c r="AJ58" s="53">
        <v>982.71</v>
      </c>
      <c r="AK58" s="53">
        <v>316.29</v>
      </c>
      <c r="AL58" s="53">
        <f>B58+C58+D58+E58+F58+G58+H58+I58+J58+K58+L58+M58+N58+O58+P58+Q58+R58+S58+T58+U58+V58+W58+X58+Y58+Z58+AA58+AB58+AC58+AD58+AE58+AF58+AG58+AH58+AI58+AJ58+AK58</f>
        <v>35020.13999999999</v>
      </c>
    </row>
    <row r="59" spans="1:38" ht="16">
      <c r="A59" s="42" t="s">
        <v>56</v>
      </c>
      <c r="B59" s="52"/>
      <c r="C59" s="53">
        <v>16.07</v>
      </c>
      <c r="D59" s="53">
        <v>76.37</v>
      </c>
      <c r="E59" s="52"/>
      <c r="F59" s="53">
        <v>13.2</v>
      </c>
      <c r="G59" s="53">
        <v>97.87</v>
      </c>
      <c r="H59" s="53">
        <v>98.17</v>
      </c>
      <c r="I59" s="53">
        <v>107.69</v>
      </c>
      <c r="J59" s="53">
        <v>190.53</v>
      </c>
      <c r="K59" s="53">
        <v>172.43</v>
      </c>
      <c r="L59" s="53">
        <v>19.84</v>
      </c>
      <c r="M59" s="53">
        <v>29.31</v>
      </c>
      <c r="N59" s="53">
        <v>99.79</v>
      </c>
      <c r="O59" s="53">
        <v>49.0</v>
      </c>
      <c r="P59" s="53">
        <v>57.41</v>
      </c>
      <c r="Q59" s="53">
        <v>20.21</v>
      </c>
      <c r="R59" s="53">
        <v>167.21</v>
      </c>
      <c r="S59" s="53">
        <v>263.99</v>
      </c>
      <c r="T59" s="53">
        <v>49.0</v>
      </c>
      <c r="U59" s="53">
        <v>14.61</v>
      </c>
      <c r="V59" s="53">
        <v>51.93</v>
      </c>
      <c r="W59" s="52"/>
      <c r="X59" s="53">
        <v>32.93</v>
      </c>
      <c r="Y59" s="53">
        <v>32.26</v>
      </c>
      <c r="Z59" s="53">
        <v>8.67</v>
      </c>
      <c r="AA59" s="53">
        <v>69.28</v>
      </c>
      <c r="AB59" s="53">
        <v>16.96</v>
      </c>
      <c r="AC59" s="53">
        <v>344.52</v>
      </c>
      <c r="AD59" s="53">
        <v>73.11</v>
      </c>
      <c r="AE59" s="53">
        <v>34.41</v>
      </c>
      <c r="AF59" s="53">
        <v>535.32</v>
      </c>
      <c r="AG59" s="53">
        <v>214.97</v>
      </c>
      <c r="AH59" s="52"/>
      <c r="AI59" s="53">
        <v>24.52</v>
      </c>
      <c r="AJ59" s="52"/>
      <c r="AK59" s="52"/>
      <c r="AL59" s="53">
        <f>B59+C59+D59+E59+F59+G59+H59+I59+J59+K59+L59+M59+N59+O59+P59+Q59+R59+S59+T59+U59+V59+W59+X59+Y59+Z59+AA59+AB59+AC59+AD59+AE59+AF59+AG59+AH59+AI59+AJ59+AK59</f>
        <v>2981.58</v>
      </c>
    </row>
    <row r="60" spans="1:38" ht="16">
      <c r="A60" s="42" t="s">
        <v>57</v>
      </c>
      <c r="B60" s="52"/>
      <c r="C60" s="53">
        <v>23.54</v>
      </c>
      <c r="D60" s="52"/>
      <c r="E60" s="52"/>
      <c r="F60" s="52"/>
      <c r="G60" s="52"/>
      <c r="H60" s="53">
        <v>94.92</v>
      </c>
      <c r="I60" s="52"/>
      <c r="J60" s="52"/>
      <c r="K60" s="52"/>
      <c r="L60" s="53">
        <v>12.24</v>
      </c>
      <c r="M60" s="52"/>
      <c r="N60" s="52"/>
      <c r="O60" s="52"/>
      <c r="P60" s="53">
        <v>19.26</v>
      </c>
      <c r="Q60" s="52"/>
      <c r="R60" s="52"/>
      <c r="S60" s="52"/>
      <c r="T60" s="52"/>
      <c r="U60" s="53">
        <v>8.79</v>
      </c>
      <c r="V60" s="52"/>
      <c r="W60" s="52"/>
      <c r="X60" s="52"/>
      <c r="Y60" s="53">
        <v>5.24</v>
      </c>
      <c r="Z60" s="52"/>
      <c r="AA60" s="52"/>
      <c r="AB60" s="52"/>
      <c r="AC60" s="53">
        <v>30.5</v>
      </c>
      <c r="AD60" s="52"/>
      <c r="AE60" s="52"/>
      <c r="AF60" s="52"/>
      <c r="AG60" s="52"/>
      <c r="AH60" s="53">
        <v>11.24</v>
      </c>
      <c r="AI60" s="52"/>
      <c r="AJ60" s="52"/>
      <c r="AK60" s="52"/>
      <c r="AL60" s="53">
        <f>B60+C60+D60+E60+F60+G60+H60+I60+J60+K60+L60+M60+N60+O60+P60+Q60+R60+S60+T60+U60+V60+W60+X60+Y60+Z60+AA60+AB60+AC60+AD60+AE60+AF60+AG60+AH60+AI60+AJ60+AK60</f>
        <v>205.73000000000002</v>
      </c>
    </row>
    <row r="61" spans="1:38" ht="16">
      <c r="A61" s="47" t="s">
        <v>58</v>
      </c>
      <c r="B61" s="54">
        <f>B57+B58+B59+B60</f>
        <v>225.21</v>
      </c>
      <c r="C61" s="54">
        <f>C57+C58+C59+C60</f>
        <v>540.98</v>
      </c>
      <c r="D61" s="54">
        <f>D57+D58+D59+D60</f>
        <v>810.19</v>
      </c>
      <c r="E61" s="54">
        <f>E57+E58+E59+E60</f>
        <v>777.57</v>
      </c>
      <c r="F61" s="54">
        <f>F57+F58+F59+F60</f>
        <v>976.8100000000001</v>
      </c>
      <c r="G61" s="54">
        <f>G57+G58+G59+G60</f>
        <v>830.14</v>
      </c>
      <c r="H61" s="54">
        <f>H57+H58+H59+H60</f>
        <v>1240.0600000000002</v>
      </c>
      <c r="I61" s="54">
        <f>I57+I58+I59+I60</f>
        <v>860.6099999999999</v>
      </c>
      <c r="J61" s="54">
        <f>J57+J58+J59+J60</f>
        <v>1066.97</v>
      </c>
      <c r="K61" s="54">
        <f>K57+K58+K59+K60</f>
        <v>1120.34</v>
      </c>
      <c r="L61" s="54">
        <f>L57+L58+L59+L60</f>
        <v>1084.51</v>
      </c>
      <c r="M61" s="54">
        <f>M57+M58+M59+M60</f>
        <v>825.8699999999999</v>
      </c>
      <c r="N61" s="54">
        <f>N57+N58+N59+N60</f>
        <v>1021.7199999999999</v>
      </c>
      <c r="O61" s="54">
        <f>O57+O58+O59+O60</f>
        <v>851.83</v>
      </c>
      <c r="P61" s="54">
        <f>P57+P58+P59+P60</f>
        <v>1215.89</v>
      </c>
      <c r="Q61" s="54">
        <f>Q57+Q58+Q59+Q60</f>
        <v>982.77</v>
      </c>
      <c r="R61" s="54">
        <f>R57+R58+R59+R60</f>
        <v>1123.01</v>
      </c>
      <c r="S61" s="54">
        <f>S57+S58+S59+S60</f>
        <v>1760.7</v>
      </c>
      <c r="T61" s="54">
        <f>T57+T58+T59+T60</f>
        <v>1161.99</v>
      </c>
      <c r="U61" s="54">
        <f>U57+U58+U59+U60</f>
        <v>1322.31</v>
      </c>
      <c r="V61" s="54">
        <f>V57+V58+V59+V60</f>
        <v>1327.5</v>
      </c>
      <c r="W61" s="54">
        <f>W57+W58+W59+W60</f>
        <v>1107.36</v>
      </c>
      <c r="X61" s="54">
        <f>X57+X58+X59+X60</f>
        <v>837.52</v>
      </c>
      <c r="Y61" s="54">
        <f>Y57+Y58+Y59+Y60</f>
        <v>1299.86</v>
      </c>
      <c r="Z61" s="54">
        <f>Z57+Z58+Z59+Z60</f>
        <v>1025.02</v>
      </c>
      <c r="AA61" s="54">
        <f>AA57+AA58+AA59+AA60</f>
        <v>1208.36</v>
      </c>
      <c r="AB61" s="54">
        <f>AB57+AB58+AB59+AB60</f>
        <v>887.74</v>
      </c>
      <c r="AC61" s="54">
        <f>AC57+AC58+AC59+AC60</f>
        <v>2443.78</v>
      </c>
      <c r="AD61" s="54">
        <f>AD57+AD58+AD59+AD60</f>
        <v>1394.9599999999998</v>
      </c>
      <c r="AE61" s="54">
        <f>AE57+AE58+AE59+AE60</f>
        <v>895.05</v>
      </c>
      <c r="AF61" s="54">
        <f>AF57+AF58+AF59+AF60</f>
        <v>1334.3600000000001</v>
      </c>
      <c r="AG61" s="54">
        <f>AG57+AG58+AG59+AG60</f>
        <v>1438.34</v>
      </c>
      <c r="AH61" s="54">
        <f>AH57+AH58+AH59+AH60</f>
        <v>511.27</v>
      </c>
      <c r="AI61" s="54">
        <f>AI57+AI58+AI59+AI60</f>
        <v>1397.85</v>
      </c>
      <c r="AJ61" s="54">
        <f>AJ57+AJ58+AJ59+AJ60</f>
        <v>982.71</v>
      </c>
      <c r="AK61" s="54">
        <f>AK57+AK58+AK59+AK60</f>
        <v>316.29</v>
      </c>
      <c r="AL61" s="55">
        <f>B61+C61+D61+E61+F61+G61+H61+I61+J61+K61+L61+M61+N61+O61+P61+Q61+R61+S61+T61+U61+V61+W61+X61+Y61+Z61+AA61+AB61+AC61+AD61+AE61+AF61+AG61+AH61+AI61+AJ61+AK61</f>
        <v>38207.45</v>
      </c>
    </row>
    <row r="62" spans="1:38" ht="16">
      <c r="A62" s="41" t="s">
        <v>59</v>
      </c>
      <c r="B62" s="53">
        <v>136.31</v>
      </c>
      <c r="C62" s="53">
        <v>127.05</v>
      </c>
      <c r="D62" s="53">
        <v>234.61</v>
      </c>
      <c r="E62" s="53">
        <v>233.37</v>
      </c>
      <c r="F62" s="53">
        <v>169.76</v>
      </c>
      <c r="G62" s="53">
        <v>262.9</v>
      </c>
      <c r="H62" s="53">
        <v>218.86</v>
      </c>
      <c r="I62" s="53">
        <v>152.29</v>
      </c>
      <c r="J62" s="53">
        <v>177.11</v>
      </c>
      <c r="K62" s="53">
        <v>125.78</v>
      </c>
      <c r="L62" s="53">
        <v>131.72</v>
      </c>
      <c r="M62" s="53">
        <v>125.73</v>
      </c>
      <c r="N62" s="53">
        <v>200.99</v>
      </c>
      <c r="O62" s="53">
        <v>206.62</v>
      </c>
      <c r="P62" s="53">
        <v>277.76</v>
      </c>
      <c r="Q62" s="53">
        <v>61.44</v>
      </c>
      <c r="R62" s="53">
        <v>197.98</v>
      </c>
      <c r="S62" s="53">
        <v>209.35</v>
      </c>
      <c r="T62" s="53">
        <v>83.77</v>
      </c>
      <c r="U62" s="53">
        <v>174.92</v>
      </c>
      <c r="V62" s="53">
        <v>237.76</v>
      </c>
      <c r="W62" s="53">
        <v>201.47</v>
      </c>
      <c r="X62" s="53">
        <v>148.37</v>
      </c>
      <c r="Y62" s="53">
        <v>192.01</v>
      </c>
      <c r="Z62" s="53">
        <v>411.49</v>
      </c>
      <c r="AA62" s="53">
        <v>213.36</v>
      </c>
      <c r="AB62" s="53">
        <v>394.6</v>
      </c>
      <c r="AC62" s="53">
        <v>234.84</v>
      </c>
      <c r="AD62" s="53">
        <v>225.83</v>
      </c>
      <c r="AE62" s="53">
        <v>198.9</v>
      </c>
      <c r="AF62" s="53">
        <v>143.98</v>
      </c>
      <c r="AG62" s="53">
        <v>226.06</v>
      </c>
      <c r="AH62" s="53">
        <v>140.79</v>
      </c>
      <c r="AI62" s="53">
        <v>615.69</v>
      </c>
      <c r="AJ62" s="53">
        <v>191.97</v>
      </c>
      <c r="AK62" s="52"/>
      <c r="AL62" s="53">
        <f>B62+C62+D62+E62+F62+G62+H62+I62+J62+K62+L62+M62+N62+O62+P62+Q62+R62+S62+T62+U62+V62+W62+X62+Y62+Z62+AA62+AB62+AC62+AD62+AE62+AF62+AG62+AH62+AI62+AJ62+AK62</f>
        <v>7285.44</v>
      </c>
    </row>
    <row r="63" spans="1:38" ht="16">
      <c r="A63" s="41" t="s">
        <v>60</v>
      </c>
      <c r="B63" s="52"/>
      <c r="C63" s="53">
        <v>3504.06</v>
      </c>
      <c r="D63" s="53">
        <v>2283.3</v>
      </c>
      <c r="E63" s="53">
        <v>1573.74</v>
      </c>
      <c r="F63" s="53">
        <v>4413.22</v>
      </c>
      <c r="G63" s="53">
        <v>3002.82</v>
      </c>
      <c r="H63" s="53">
        <v>1683.25</v>
      </c>
      <c r="I63" s="53">
        <v>1693.21</v>
      </c>
      <c r="J63" s="53">
        <v>6149.41</v>
      </c>
      <c r="K63" s="53">
        <v>1982.87</v>
      </c>
      <c r="L63" s="53">
        <v>2598.84</v>
      </c>
      <c r="M63" s="53">
        <v>2949.19</v>
      </c>
      <c r="N63" s="53">
        <v>3017.25</v>
      </c>
      <c r="O63" s="53">
        <v>2576.25</v>
      </c>
      <c r="P63" s="53">
        <v>2047.37</v>
      </c>
      <c r="Q63" s="53">
        <v>3526.3</v>
      </c>
      <c r="R63" s="53">
        <v>3708.18</v>
      </c>
      <c r="S63" s="53">
        <v>1799.99</v>
      </c>
      <c r="T63" s="53">
        <v>1839.1</v>
      </c>
      <c r="U63" s="53">
        <v>2546.54</v>
      </c>
      <c r="V63" s="53">
        <v>2059.98</v>
      </c>
      <c r="W63" s="53">
        <v>3873.53</v>
      </c>
      <c r="X63" s="53">
        <v>2982.9</v>
      </c>
      <c r="Y63" s="53">
        <v>2975.58</v>
      </c>
      <c r="Z63" s="53">
        <v>1440.31</v>
      </c>
      <c r="AA63" s="53">
        <v>2904.04</v>
      </c>
      <c r="AB63" s="53">
        <v>2877.29</v>
      </c>
      <c r="AC63" s="53">
        <v>3863.77</v>
      </c>
      <c r="AD63" s="53">
        <v>3226.34</v>
      </c>
      <c r="AE63" s="53">
        <v>4203.36</v>
      </c>
      <c r="AF63" s="53">
        <v>3343.72</v>
      </c>
      <c r="AG63" s="53">
        <v>2088.85</v>
      </c>
      <c r="AH63" s="53">
        <v>3415.83</v>
      </c>
      <c r="AI63" s="53">
        <v>2275.79</v>
      </c>
      <c r="AJ63" s="53">
        <v>1818.58</v>
      </c>
      <c r="AK63" s="53">
        <v>2911.17</v>
      </c>
      <c r="AL63" s="53">
        <f>B63+C63+D63+E63+F63+G63+H63+I63+J63+K63+L63+M63+N63+O63+P63+Q63+R63+S63+T63+U63+V63+W63+X63+Y63+Z63+AA63+AB63+AC63+AD63+AE63+AF63+AG63+AH63+AI63+AJ63+AK63</f>
        <v>99155.93</v>
      </c>
    </row>
    <row r="64" spans="1:38" ht="16">
      <c r="A64" s="48" t="s">
        <v>61</v>
      </c>
      <c r="B64" s="54">
        <f>B32+B49+B50+B51+B56+B61+B62+B63</f>
        <v>538.52</v>
      </c>
      <c r="C64" s="54">
        <f>C32+C49+C50+C51+C56+C61+C62+C63</f>
        <v>4938.13</v>
      </c>
      <c r="D64" s="54">
        <f>D32+D49+D50+D51+D56+D61+D62+D63</f>
        <v>31149.35</v>
      </c>
      <c r="E64" s="54">
        <f>E32+E49+E50+E51+E56+E61+E62+E63</f>
        <v>3189.75</v>
      </c>
      <c r="F64" s="54">
        <f>F32+F49+F50+F51+F56+F61+F62+F63</f>
        <v>34616.659999999996</v>
      </c>
      <c r="G64" s="54">
        <f>G32+G49+G50+G51+G56+G61+G62+G63</f>
        <v>5160.52</v>
      </c>
      <c r="H64" s="54">
        <f>H32+H49+H50+H51+H56+H61+H62+H63</f>
        <v>25528.530000000002</v>
      </c>
      <c r="I64" s="54">
        <f>I32+I49+I50+I51+I56+I61+I62+I63</f>
        <v>6589.2</v>
      </c>
      <c r="J64" s="54">
        <f>J32+J49+J50+J51+J56+J61+J62+J63</f>
        <v>30912.83</v>
      </c>
      <c r="K64" s="54">
        <f>K32+K49+K50+K51+K56+K61+K62+K63</f>
        <v>8584.58</v>
      </c>
      <c r="L64" s="54">
        <f>L32+L49+L50+L51+L56+L61+L62+L63</f>
        <v>33923.69</v>
      </c>
      <c r="M64" s="54">
        <f>M32+M49+M50+M51+M56+M61+M62+M63</f>
        <v>7336.27</v>
      </c>
      <c r="N64" s="54">
        <f>N32+N49+N50+N51+N56+N61+N62+N63</f>
        <v>24983.160000000003</v>
      </c>
      <c r="O64" s="54">
        <f>O32+O49+O50+O51+O56+O61+O62+O63</f>
        <v>4181.49</v>
      </c>
      <c r="P64" s="54">
        <f>P32+P49+P50+P51+P56+P61+P62+P63</f>
        <v>26396.96</v>
      </c>
      <c r="Q64" s="54">
        <f>Q32+Q49+Q50+Q51+Q56+Q61+Q62+Q63</f>
        <v>7521.09</v>
      </c>
      <c r="R64" s="54">
        <f>R32+R49+R50+R51+R56+R61+R62+R63</f>
        <v>26837.339999999997</v>
      </c>
      <c r="S64" s="54">
        <f>S32+S49+S50+S51+S56+S61+S62+S63</f>
        <v>7454.92</v>
      </c>
      <c r="T64" s="54">
        <f>T32+T49+T50+T51+T56+T61+T62+T63</f>
        <v>26200.4</v>
      </c>
      <c r="U64" s="54">
        <f>U32+U49+U50+U51+U56+U61+U62+U63</f>
        <v>5419.4</v>
      </c>
      <c r="V64" s="54">
        <f>V32+V49+V50+V51+V56+V61+V62+V63</f>
        <v>22501.289999999997</v>
      </c>
      <c r="W64" s="54">
        <f>W32+W49+W50+W51+W56+W61+W62+W63</f>
        <v>5905.85</v>
      </c>
      <c r="X64" s="54">
        <f>X32+X49+X50+X51+X56+X61+X62+X63</f>
        <v>32328.010000000002</v>
      </c>
      <c r="Y64" s="54">
        <f>Y32+Y49+Y50+Y51+Y56+Y61+Y62+Y63</f>
        <v>6692.9800000000005</v>
      </c>
      <c r="Z64" s="54">
        <f>Z32+Z49+Z50+Z51+Z56+Z61+Z62+Z63</f>
        <v>31592.960000000003</v>
      </c>
      <c r="AA64" s="54">
        <f>AA32+AA49+AA50+AA51+AA56+AA61+AA62+AA63</f>
        <v>8392.34</v>
      </c>
      <c r="AB64" s="54">
        <f>AB32+AB49+AB50+AB51+AB56+AB61+AB62+AB63</f>
        <v>33300.6</v>
      </c>
      <c r="AC64" s="54">
        <f>AC32+AC49+AC50+AC51+AC56+AC61+AC62+AC63</f>
        <v>13770.070000000002</v>
      </c>
      <c r="AD64" s="54">
        <f>AD32+AD49+AD50+AD51+AD56+AD61+AD62+AD63</f>
        <v>42321.08</v>
      </c>
      <c r="AE64" s="54">
        <f>AE32+AE49+AE50+AE51+AE56+AE61+AE62+AE63</f>
        <v>9748.439999999999</v>
      </c>
      <c r="AF64" s="54">
        <f>AF32+AF49+AF50+AF51+AF56+AF61+AF62+AF63</f>
        <v>32958.61</v>
      </c>
      <c r="AG64" s="54">
        <f>AG32+AG49+AG50+AG51+AG56+AG61+AG62+AG63</f>
        <v>4650.45</v>
      </c>
      <c r="AH64" s="54">
        <f>AH32+AH49+AH50+AH51+AH56+AH61+AH62+AH63</f>
        <v>34805.78</v>
      </c>
      <c r="AI64" s="54">
        <f>AI32+AI49+AI50+AI51+AI56+AI61+AI62+AI63</f>
        <v>7545.0199999999995</v>
      </c>
      <c r="AJ64" s="54">
        <f>AJ32+AJ49+AJ50+AJ51+AJ56+AJ61+AJ62+AJ63</f>
        <v>38826.66</v>
      </c>
      <c r="AK64" s="54">
        <f>AK32+AK49+AK50+AK51+AK56+AK61+AK62+AK63</f>
        <v>3211.91</v>
      </c>
      <c r="AL64" s="55">
        <f>B64+C64+D64+E64+F64+G64+H64+I64+J64+K64+L64+M64+N64+O64+P64+Q64+R64+S64+T64+U64+V64+W64+X64+Y64+Z64+AA64+AB64+AC64+AD64+AE64+AF64+AG64+AH64+AI64+AJ64+AK64</f>
        <v>650014.84</v>
      </c>
    </row>
    <row r="65" spans="1:38" ht="16">
      <c r="A65" s="48" t="s">
        <v>62</v>
      </c>
      <c r="B65" s="54">
        <f>B31-B64</f>
        <v>7506.040000000001</v>
      </c>
      <c r="C65" s="54">
        <f>C31-C64</f>
        <v>15874.73</v>
      </c>
      <c r="D65" s="54">
        <f>D31-D64</f>
        <v>14781.470000000001</v>
      </c>
      <c r="E65" s="54">
        <f>E31-E64</f>
        <v>28878.379999999997</v>
      </c>
      <c r="F65" s="54">
        <f>F31-F64</f>
        <v>-5006.359999999997</v>
      </c>
      <c r="G65" s="54">
        <f>G31-G64</f>
        <v>31225.709999999995</v>
      </c>
      <c r="H65" s="54">
        <f>H31-H64</f>
        <v>2994.619999999999</v>
      </c>
      <c r="I65" s="54">
        <f>I31-I64</f>
        <v>22153.8</v>
      </c>
      <c r="J65" s="54">
        <f>J31-J64</f>
        <v>3645.6800000000003</v>
      </c>
      <c r="K65" s="54">
        <f>K31-K64</f>
        <v>33734.759999999995</v>
      </c>
      <c r="L65" s="54">
        <f>L31-L64</f>
        <v>-1434.2300000000032</v>
      </c>
      <c r="M65" s="54">
        <f>M31-M64</f>
        <v>22088.73</v>
      </c>
      <c r="N65" s="54">
        <f>N31-N64</f>
        <v>-4186.7800000000025</v>
      </c>
      <c r="O65" s="54">
        <f>O31-O64</f>
        <v>17093.260000000002</v>
      </c>
      <c r="P65" s="54">
        <f>P31-P64</f>
        <v>5161.190000000002</v>
      </c>
      <c r="Q65" s="54">
        <f>Q31-Q64</f>
        <v>16900.42</v>
      </c>
      <c r="R65" s="54">
        <f>R31-R64</f>
        <v>-2057.859999999997</v>
      </c>
      <c r="S65" s="54">
        <f>S31-S64</f>
        <v>24487.96</v>
      </c>
      <c r="T65" s="54">
        <f>T31-T64</f>
        <v>-2254.730000000003</v>
      </c>
      <c r="U65" s="54">
        <f>U31-U64</f>
        <v>20714.11</v>
      </c>
      <c r="V65" s="54">
        <f>V31-V64</f>
        <v>3928.270000000004</v>
      </c>
      <c r="W65" s="54">
        <f>W31-W64</f>
        <v>29849.82</v>
      </c>
      <c r="X65" s="54">
        <f>X31-X64</f>
        <v>-5866.630000000005</v>
      </c>
      <c r="Y65" s="54">
        <f>Y31-Y64</f>
        <v>31004.95</v>
      </c>
      <c r="Z65" s="54">
        <f>Z31-Z64</f>
        <v>13519.309999999994</v>
      </c>
      <c r="AA65" s="54">
        <f>AA31-AA64</f>
        <v>24368.32</v>
      </c>
      <c r="AB65" s="54">
        <f>AB31-AB64</f>
        <v>11106.349999999999</v>
      </c>
      <c r="AC65" s="54">
        <f>AC31-AC64</f>
        <v>21473.489999999998</v>
      </c>
      <c r="AD65" s="54">
        <f>AD31-AD64</f>
        <v>-3681.3899999999994</v>
      </c>
      <c r="AE65" s="54">
        <f>AE31-AE64</f>
        <v>21833.350000000002</v>
      </c>
      <c r="AF65" s="54">
        <f>AF31-AF64</f>
        <v>-15377.119999999999</v>
      </c>
      <c r="AG65" s="54">
        <f>AG31-AG64</f>
        <v>28987.41</v>
      </c>
      <c r="AH65" s="54">
        <f>AH31-AH64</f>
        <v>3188.3099999999977</v>
      </c>
      <c r="AI65" s="54">
        <f>AI31-AI64</f>
        <v>31269.670000000002</v>
      </c>
      <c r="AJ65" s="54">
        <f>AJ31-AJ64</f>
        <v>-4419.850000000006</v>
      </c>
      <c r="AK65" s="54">
        <f>AK31-AK64</f>
        <v>10402.91</v>
      </c>
      <c r="AL65" s="55">
        <f>B65+C65+D65+E65+F65+G65+H65+I65+J65+K65+L65+M65+N65+O65+P65+Q65+R65+S65+T65+U65+V65+W65+X65+Y65+Z65+AA65+AB65+AC65+AD65+AE65+AF65+AG65+AH65+AI65+AJ65+AK65</f>
        <v>453888.0699999999</v>
      </c>
    </row>
    <row r="66" spans="1:37" ht="16">
      <c r="A66" s="40" t="s">
        <v>63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</row>
    <row r="67" spans="1:38" ht="16">
      <c r="A67" s="41" t="s">
        <v>64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</row>
    <row r="68" spans="1:38" ht="16">
      <c r="A68" s="42" t="s">
        <v>65</v>
      </c>
      <c r="B68" s="52"/>
      <c r="C68" s="52"/>
      <c r="D68" s="52"/>
      <c r="E68" s="53">
        <v>125.0</v>
      </c>
      <c r="F68" s="52"/>
      <c r="G68" s="52"/>
      <c r="H68" s="52"/>
      <c r="I68" s="52"/>
      <c r="J68" s="53">
        <v>125.0</v>
      </c>
      <c r="K68" s="52"/>
      <c r="L68" s="52"/>
      <c r="M68" s="52"/>
      <c r="N68" s="53">
        <v>125.0</v>
      </c>
      <c r="O68" s="52"/>
      <c r="P68" s="52"/>
      <c r="Q68" s="52"/>
      <c r="R68" s="52"/>
      <c r="S68" s="53">
        <v>125.0</v>
      </c>
      <c r="T68" s="52"/>
      <c r="U68" s="52"/>
      <c r="V68" s="52"/>
      <c r="W68" s="53">
        <v>125.0</v>
      </c>
      <c r="X68" s="52"/>
      <c r="Y68" s="52"/>
      <c r="Z68" s="52"/>
      <c r="AA68" s="53">
        <v>125.0</v>
      </c>
      <c r="AB68" s="52"/>
      <c r="AC68" s="52"/>
      <c r="AD68" s="52"/>
      <c r="AE68" s="53">
        <v>125.0</v>
      </c>
      <c r="AF68" s="52"/>
      <c r="AG68" s="52"/>
      <c r="AH68" s="52"/>
      <c r="AI68" s="52"/>
      <c r="AJ68" s="52"/>
      <c r="AK68" s="52"/>
      <c r="AL68" s="53">
        <f>B68+C68+D68+E68+F68+G68+H68+I68+J68+K68+L68+M68+N68+O68+P68+Q68+R68+S68+T68+U68+V68+W68+X68+Y68+Z68+AA68+AB68+AC68+AD68+AE68+AF68+AG68+AH68+AI68+AJ68+AK68</f>
        <v>875.0</v>
      </c>
    </row>
    <row r="69" spans="1:38" ht="16">
      <c r="A69" s="43" t="s">
        <v>66</v>
      </c>
      <c r="B69" s="53">
        <v>461.65</v>
      </c>
      <c r="C69" s="52"/>
      <c r="D69" s="53">
        <v>500.0</v>
      </c>
      <c r="E69" s="52"/>
      <c r="F69" s="53">
        <v>498.6</v>
      </c>
      <c r="G69" s="52"/>
      <c r="H69" s="52"/>
      <c r="I69" s="53">
        <v>524.75</v>
      </c>
      <c r="J69" s="52"/>
      <c r="K69" s="53">
        <v>444.63</v>
      </c>
      <c r="L69" s="52"/>
      <c r="M69" s="53">
        <v>524.75</v>
      </c>
      <c r="N69" s="52"/>
      <c r="O69" s="53">
        <v>466.82</v>
      </c>
      <c r="P69" s="52"/>
      <c r="Q69" s="53">
        <v>524.75</v>
      </c>
      <c r="R69" s="52"/>
      <c r="S69" s="53">
        <v>439.88</v>
      </c>
      <c r="T69" s="53">
        <v>875.0</v>
      </c>
      <c r="U69" s="53">
        <v>1049.75</v>
      </c>
      <c r="V69" s="53">
        <v>525.0</v>
      </c>
      <c r="W69" s="52"/>
      <c r="X69" s="53">
        <v>483.14</v>
      </c>
      <c r="Y69" s="52"/>
      <c r="Z69" s="53">
        <v>500.0</v>
      </c>
      <c r="AA69" s="52"/>
      <c r="AB69" s="53">
        <v>437.91</v>
      </c>
      <c r="AC69" s="52"/>
      <c r="AD69" s="53">
        <v>500.0</v>
      </c>
      <c r="AE69" s="52"/>
      <c r="AF69" s="53">
        <v>456.8</v>
      </c>
      <c r="AG69" s="52"/>
      <c r="AH69" s="52"/>
      <c r="AI69" s="53">
        <v>500.0</v>
      </c>
      <c r="AJ69" s="52"/>
      <c r="AK69" s="52"/>
      <c r="AL69" s="53">
        <f>B69+C69+D69+E69+F69+G69+H69+I69+J69+K69+L69+M69+N69+O69+P69+Q69+R69+S69+T69+U69+V69+W69+X69+Y69+Z69+AA69+AB69+AC69+AD69+AE69+AF69+AG69+AH69+AI69+AJ69+AK69</f>
        <v>9713.43</v>
      </c>
    </row>
    <row r="70" spans="1:38" ht="16">
      <c r="A70" s="43" t="s">
        <v>67</v>
      </c>
      <c r="B70" s="52"/>
      <c r="C70" s="52"/>
      <c r="D70" s="52"/>
      <c r="E70" s="52"/>
      <c r="F70" s="52"/>
      <c r="G70" s="52"/>
      <c r="H70" s="52"/>
      <c r="I70" s="53">
        <v>1002.45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3">
        <f>B70+C70+D70+E70+F70+G70+H70+I70+J70+K70+L70+M70+N70+O70+P70+Q70+R70+S70+T70+U70+V70+W70+X70+Y70+Z70+AA70+AB70+AC70+AD70+AE70+AF70+AG70+AH70+AI70+AJ70+AK70</f>
        <v>1002.45</v>
      </c>
    </row>
    <row r="71" spans="1:38" ht="16">
      <c r="A71" s="43" t="s">
        <v>68</v>
      </c>
      <c r="B71" s="52"/>
      <c r="C71" s="52"/>
      <c r="D71" s="53">
        <v>1087.4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3">
        <v>1087.4</v>
      </c>
      <c r="R71" s="53">
        <v>345.2</v>
      </c>
      <c r="S71" s="53">
        <v>95.45</v>
      </c>
      <c r="T71" s="52"/>
      <c r="U71" s="52"/>
      <c r="V71" s="52"/>
      <c r="W71" s="52"/>
      <c r="X71" s="52"/>
      <c r="Y71" s="52"/>
      <c r="Z71" s="52"/>
      <c r="AA71" s="53">
        <v>244.2</v>
      </c>
      <c r="AB71" s="52"/>
      <c r="AC71" s="53">
        <v>175.95</v>
      </c>
      <c r="AD71" s="52"/>
      <c r="AE71" s="52"/>
      <c r="AF71" s="52"/>
      <c r="AG71" s="52"/>
      <c r="AH71" s="52"/>
      <c r="AI71" s="52"/>
      <c r="AJ71" s="52"/>
      <c r="AK71" s="52"/>
      <c r="AL71" s="53">
        <f>B71+C71+D71+E71+F71+G71+H71+I71+J71+K71+L71+M71+N71+O71+P71+Q71+R71+S71+T71+U71+V71+W71+X71+Y71+Z71+AA71+AB71+AC71+AD71+AE71+AF71+AG71+AH71+AI71+AJ71+AK71</f>
        <v>3035.5999999999995</v>
      </c>
    </row>
    <row r="72" spans="1:38" ht="16">
      <c r="A72" s="44" t="s">
        <v>69</v>
      </c>
      <c r="B72" s="54">
        <f>B68+B69+B70+B71</f>
        <v>461.65</v>
      </c>
      <c r="C72" s="55">
        <f>C68+C69+C70+C71</f>
        <v>0.0</v>
      </c>
      <c r="D72" s="54">
        <f>D68+D69+D70+D71</f>
        <v>1587.4</v>
      </c>
      <c r="E72" s="54">
        <f>E68+E69+E70+E71</f>
        <v>125.0</v>
      </c>
      <c r="F72" s="54">
        <f>F68+F69+F70+F71</f>
        <v>498.6</v>
      </c>
      <c r="G72" s="55">
        <f>G68+G69+G70+G71</f>
        <v>0.0</v>
      </c>
      <c r="H72" s="55">
        <f>H68+H69+H70+H71</f>
        <v>0.0</v>
      </c>
      <c r="I72" s="54">
        <f>I68+I69+I70+I71</f>
        <v>1527.2</v>
      </c>
      <c r="J72" s="54">
        <f>J68+J69+J70+J71</f>
        <v>125.0</v>
      </c>
      <c r="K72" s="54">
        <f>K68+K69+K70+K71</f>
        <v>444.63</v>
      </c>
      <c r="L72" s="55">
        <f>L68+L69+L70+L71</f>
        <v>0.0</v>
      </c>
      <c r="M72" s="54">
        <f>M68+M69+M70+M71</f>
        <v>524.75</v>
      </c>
      <c r="N72" s="54">
        <f>N68+N69+N70+N71</f>
        <v>125.0</v>
      </c>
      <c r="O72" s="54">
        <f>O68+O69+O70+O71</f>
        <v>466.82</v>
      </c>
      <c r="P72" s="55">
        <f>P68+P69+P70+P71</f>
        <v>0.0</v>
      </c>
      <c r="Q72" s="54">
        <f>Q68+Q69+Q70+Q71</f>
        <v>1612.15</v>
      </c>
      <c r="R72" s="54">
        <f>R68+R69+R70+R71</f>
        <v>345.2</v>
      </c>
      <c r="S72" s="54">
        <f>S68+S69+S70+S71</f>
        <v>660.33</v>
      </c>
      <c r="T72" s="54">
        <f>T68+T69+T70+T71</f>
        <v>875.0</v>
      </c>
      <c r="U72" s="54">
        <f>U68+U69+U70+U71</f>
        <v>1049.75</v>
      </c>
      <c r="V72" s="54">
        <f>V68+V69+V70+V71</f>
        <v>525.0</v>
      </c>
      <c r="W72" s="54">
        <f>W68+W69+W70+W71</f>
        <v>125.0</v>
      </c>
      <c r="X72" s="54">
        <f>X68+X69+X70+X71</f>
        <v>483.14</v>
      </c>
      <c r="Y72" s="55">
        <f>Y68+Y69+Y70+Y71</f>
        <v>0.0</v>
      </c>
      <c r="Z72" s="54">
        <f>Z68+Z69+Z70+Z71</f>
        <v>500.0</v>
      </c>
      <c r="AA72" s="54">
        <f>AA68+AA69+AA70+AA71</f>
        <v>369.2</v>
      </c>
      <c r="AB72" s="54">
        <f>AB68+AB69+AB70+AB71</f>
        <v>437.91</v>
      </c>
      <c r="AC72" s="54">
        <f>AC68+AC69+AC70+AC71</f>
        <v>175.95</v>
      </c>
      <c r="AD72" s="54">
        <f>AD68+AD69+AD70+AD71</f>
        <v>500.0</v>
      </c>
      <c r="AE72" s="54">
        <f>AE68+AE69+AE70+AE71</f>
        <v>125.0</v>
      </c>
      <c r="AF72" s="54">
        <f>AF68+AF69+AF70+AF71</f>
        <v>456.8</v>
      </c>
      <c r="AG72" s="55">
        <f>AG68+AG69+AG70+AG71</f>
        <v>0.0</v>
      </c>
      <c r="AH72" s="55">
        <f>AH68+AH69+AH70+AH71</f>
        <v>0.0</v>
      </c>
      <c r="AI72" s="54">
        <f>AI68+AI69+AI70+AI71</f>
        <v>500.0</v>
      </c>
      <c r="AJ72" s="55">
        <f>AJ68+AJ69+AJ70+AJ71</f>
        <v>0.0</v>
      </c>
      <c r="AK72" s="55">
        <f>AK68+AK69+AK70+AK71</f>
        <v>0.0</v>
      </c>
      <c r="AL72" s="55">
        <f>B72+C72+D72+E72+F72+G72+H72+I72+J72+K72+L72+M72+N72+O72+P72+Q72+R72+S72+T72+U72+V72+W72+X72+Y72+Z72+AA72+AB72+AC72+AD72+AE72+AF72+AG72+AH72+AI72+AJ72+AK72</f>
        <v>14626.480000000001</v>
      </c>
    </row>
    <row r="73" spans="1:38" ht="16">
      <c r="A73" s="47" t="s">
        <v>70</v>
      </c>
      <c r="B73" s="54">
        <f>B67+B72</f>
        <v>461.65</v>
      </c>
      <c r="C73" s="55">
        <f>C67+C72</f>
        <v>0.0</v>
      </c>
      <c r="D73" s="54">
        <f>D67+D72</f>
        <v>1587.4</v>
      </c>
      <c r="E73" s="54">
        <f>E67+E72</f>
        <v>125.0</v>
      </c>
      <c r="F73" s="54">
        <f>F67+F72</f>
        <v>498.6</v>
      </c>
      <c r="G73" s="55">
        <f>G67+G72</f>
        <v>0.0</v>
      </c>
      <c r="H73" s="55">
        <f>H67+H72</f>
        <v>0.0</v>
      </c>
      <c r="I73" s="54">
        <f>I67+I72</f>
        <v>1527.2</v>
      </c>
      <c r="J73" s="54">
        <f>J67+J72</f>
        <v>125.0</v>
      </c>
      <c r="K73" s="54">
        <f>K67+K72</f>
        <v>444.63</v>
      </c>
      <c r="L73" s="55">
        <f>L67+L72</f>
        <v>0.0</v>
      </c>
      <c r="M73" s="54">
        <f>M67+M72</f>
        <v>524.75</v>
      </c>
      <c r="N73" s="54">
        <f>N67+N72</f>
        <v>125.0</v>
      </c>
      <c r="O73" s="54">
        <f>O67+O72</f>
        <v>466.82</v>
      </c>
      <c r="P73" s="55">
        <f>P67+P72</f>
        <v>0.0</v>
      </c>
      <c r="Q73" s="54">
        <f>Q67+Q72</f>
        <v>1612.15</v>
      </c>
      <c r="R73" s="54">
        <f>R67+R72</f>
        <v>345.2</v>
      </c>
      <c r="S73" s="54">
        <f>S67+S72</f>
        <v>660.33</v>
      </c>
      <c r="T73" s="54">
        <f>T67+T72</f>
        <v>875.0</v>
      </c>
      <c r="U73" s="54">
        <f>U67+U72</f>
        <v>1049.75</v>
      </c>
      <c r="V73" s="54">
        <f>V67+V72</f>
        <v>525.0</v>
      </c>
      <c r="W73" s="54">
        <f>W67+W72</f>
        <v>125.0</v>
      </c>
      <c r="X73" s="54">
        <f>X67+X72</f>
        <v>483.14</v>
      </c>
      <c r="Y73" s="55">
        <f>Y67+Y72</f>
        <v>0.0</v>
      </c>
      <c r="Z73" s="54">
        <f>Z67+Z72</f>
        <v>500.0</v>
      </c>
      <c r="AA73" s="54">
        <f>AA67+AA72</f>
        <v>369.2</v>
      </c>
      <c r="AB73" s="54">
        <f>AB67+AB72</f>
        <v>437.91</v>
      </c>
      <c r="AC73" s="54">
        <f>AC67+AC72</f>
        <v>175.95</v>
      </c>
      <c r="AD73" s="54">
        <f>AD67+AD72</f>
        <v>500.0</v>
      </c>
      <c r="AE73" s="54">
        <f>AE67+AE72</f>
        <v>125.0</v>
      </c>
      <c r="AF73" s="54">
        <f>AF67+AF72</f>
        <v>456.8</v>
      </c>
      <c r="AG73" s="55">
        <f>AG67+AG72</f>
        <v>0.0</v>
      </c>
      <c r="AH73" s="55">
        <f>AH67+AH72</f>
        <v>0.0</v>
      </c>
      <c r="AI73" s="54">
        <f>AI67+AI72</f>
        <v>500.0</v>
      </c>
      <c r="AJ73" s="55">
        <f>AJ67+AJ72</f>
        <v>0.0</v>
      </c>
      <c r="AK73" s="55">
        <f>AK67+AK72</f>
        <v>0.0</v>
      </c>
      <c r="AL73" s="55">
        <f>B73+C73+D73+E73+F73+G73+H73+I73+J73+K73+L73+M73+N73+O73+P73+Q73+R73+S73+T73+U73+V73+W73+X73+Y73+Z73+AA73+AB73+AC73+AD73+AE73+AF73+AG73+AH73+AI73+AJ73+AK73</f>
        <v>14626.480000000001</v>
      </c>
    </row>
    <row r="74" spans="1:38" ht="16">
      <c r="A74" s="41" t="s">
        <v>71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</row>
    <row r="75" spans="1:38" ht="16">
      <c r="A75" s="42" t="s">
        <v>72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</row>
    <row r="76" spans="1:38" ht="16">
      <c r="A76" s="43" t="s">
        <v>73</v>
      </c>
      <c r="B76" s="52"/>
      <c r="C76" s="53">
        <v>1040.0</v>
      </c>
      <c r="D76" s="52"/>
      <c r="E76" s="53">
        <v>1040.0</v>
      </c>
      <c r="F76" s="53">
        <v>1399.0</v>
      </c>
      <c r="G76" s="53">
        <v>1040.0</v>
      </c>
      <c r="H76" s="53">
        <v>691.17</v>
      </c>
      <c r="I76" s="53">
        <v>1305.4</v>
      </c>
      <c r="J76" s="53">
        <v>1083.17</v>
      </c>
      <c r="K76" s="53">
        <v>1040.0</v>
      </c>
      <c r="L76" s="53">
        <v>503.8</v>
      </c>
      <c r="M76" s="53">
        <v>1040.0</v>
      </c>
      <c r="N76" s="53">
        <v>478.0</v>
      </c>
      <c r="O76" s="53">
        <v>1040.0</v>
      </c>
      <c r="P76" s="53">
        <v>1258.56</v>
      </c>
      <c r="Q76" s="53">
        <v>1167.0</v>
      </c>
      <c r="R76" s="52"/>
      <c r="S76" s="53">
        <v>713.82</v>
      </c>
      <c r="T76" s="53">
        <v>1040.0</v>
      </c>
      <c r="U76" s="53">
        <v>1483.47</v>
      </c>
      <c r="V76" s="53">
        <v>1355.0</v>
      </c>
      <c r="W76" s="53">
        <v>1483.47</v>
      </c>
      <c r="X76" s="53">
        <v>250.0</v>
      </c>
      <c r="Y76" s="53">
        <v>1969.64</v>
      </c>
      <c r="Z76" s="53">
        <v>1040.0</v>
      </c>
      <c r="AA76" s="53">
        <v>870.78</v>
      </c>
      <c r="AB76" s="53">
        <v>1040.0</v>
      </c>
      <c r="AC76" s="53">
        <v>792.3</v>
      </c>
      <c r="AD76" s="53">
        <v>1040.0</v>
      </c>
      <c r="AE76" s="53">
        <v>357.0</v>
      </c>
      <c r="AF76" s="53">
        <v>1483.47</v>
      </c>
      <c r="AG76" s="53">
        <v>1040.0</v>
      </c>
      <c r="AH76" s="53">
        <v>870.78</v>
      </c>
      <c r="AI76" s="53">
        <v>520.0</v>
      </c>
      <c r="AJ76" s="53">
        <v>870.78</v>
      </c>
      <c r="AK76" s="52"/>
      <c r="AL76" s="53">
        <f>B76+C76+D76+E76+F76+G76+H76+I76+J76+K76+L76+M76+N76+O76+P76+Q76+R76+S76+T76+U76+V76+W76+X76+Y76+Z76+AA76+AB76+AC76+AD76+AE76+AF76+AG76+AH76+AI76+AJ76+AK76</f>
        <v>32346.609999999997</v>
      </c>
    </row>
    <row r="77" spans="1:38" ht="16">
      <c r="A77" s="44" t="s">
        <v>74</v>
      </c>
      <c r="B77" s="55">
        <f>B75+B76</f>
        <v>0.0</v>
      </c>
      <c r="C77" s="54">
        <f>C75+C76</f>
        <v>1040.0</v>
      </c>
      <c r="D77" s="55">
        <f>D75+D76</f>
        <v>0.0</v>
      </c>
      <c r="E77" s="54">
        <f>E75+E76</f>
        <v>1040.0</v>
      </c>
      <c r="F77" s="54">
        <f>F75+F76</f>
        <v>1399.0</v>
      </c>
      <c r="G77" s="54">
        <f>G75+G76</f>
        <v>1040.0</v>
      </c>
      <c r="H77" s="54">
        <f>H75+H76</f>
        <v>691.17</v>
      </c>
      <c r="I77" s="54">
        <f>I75+I76</f>
        <v>1305.4</v>
      </c>
      <c r="J77" s="54">
        <f>J75+J76</f>
        <v>1083.17</v>
      </c>
      <c r="K77" s="54">
        <f>K75+K76</f>
        <v>1040.0</v>
      </c>
      <c r="L77" s="54">
        <f>L75+L76</f>
        <v>503.8</v>
      </c>
      <c r="M77" s="54">
        <f>M75+M76</f>
        <v>1040.0</v>
      </c>
      <c r="N77" s="54">
        <f>N75+N76</f>
        <v>478.0</v>
      </c>
      <c r="O77" s="54">
        <f>O75+O76</f>
        <v>1040.0</v>
      </c>
      <c r="P77" s="54">
        <f>P75+P76</f>
        <v>1258.56</v>
      </c>
      <c r="Q77" s="54">
        <f>Q75+Q76</f>
        <v>1167.0</v>
      </c>
      <c r="R77" s="55">
        <f>R75+R76</f>
        <v>0.0</v>
      </c>
      <c r="S77" s="54">
        <f>S75+S76</f>
        <v>713.82</v>
      </c>
      <c r="T77" s="54">
        <f>T75+T76</f>
        <v>1040.0</v>
      </c>
      <c r="U77" s="54">
        <f>U75+U76</f>
        <v>1483.47</v>
      </c>
      <c r="V77" s="54">
        <f>V75+V76</f>
        <v>1355.0</v>
      </c>
      <c r="W77" s="54">
        <f>W75+W76</f>
        <v>1483.47</v>
      </c>
      <c r="X77" s="54">
        <f>X75+X76</f>
        <v>250.0</v>
      </c>
      <c r="Y77" s="54">
        <f>Y75+Y76</f>
        <v>1969.64</v>
      </c>
      <c r="Z77" s="54">
        <f>Z75+Z76</f>
        <v>1040.0</v>
      </c>
      <c r="AA77" s="54">
        <f>AA75+AA76</f>
        <v>870.78</v>
      </c>
      <c r="AB77" s="54">
        <f>AB75+AB76</f>
        <v>1040.0</v>
      </c>
      <c r="AC77" s="54">
        <f>AC75+AC76</f>
        <v>792.3</v>
      </c>
      <c r="AD77" s="54">
        <f>AD75+AD76</f>
        <v>1040.0</v>
      </c>
      <c r="AE77" s="54">
        <f>AE75+AE76</f>
        <v>357.0</v>
      </c>
      <c r="AF77" s="54">
        <f>AF75+AF76</f>
        <v>1483.47</v>
      </c>
      <c r="AG77" s="54">
        <f>AG75+AG76</f>
        <v>1040.0</v>
      </c>
      <c r="AH77" s="54">
        <f>AH75+AH76</f>
        <v>870.78</v>
      </c>
      <c r="AI77" s="54">
        <f>AI75+AI76</f>
        <v>520.0</v>
      </c>
      <c r="AJ77" s="54">
        <f>AJ75+AJ76</f>
        <v>870.78</v>
      </c>
      <c r="AK77" s="55">
        <f>AK75+AK76</f>
        <v>0.0</v>
      </c>
      <c r="AL77" s="55">
        <f>B77+C77+D77+E77+F77+G77+H77+I77+J77+K77+L77+M77+N77+O77+P77+Q77+R77+S77+T77+U77+V77+W77+X77+Y77+Z77+AA77+AB77+AC77+AD77+AE77+AF77+AG77+AH77+AI77+AJ77+AK77</f>
        <v>32346.609999999997</v>
      </c>
    </row>
    <row r="78" spans="1:38" ht="16">
      <c r="A78" s="42" t="s">
        <v>75</v>
      </c>
      <c r="B78" s="52"/>
      <c r="C78" s="53">
        <v>41.96</v>
      </c>
      <c r="D78" s="53">
        <v>99.0</v>
      </c>
      <c r="E78" s="52"/>
      <c r="F78" s="52"/>
      <c r="G78" s="52"/>
      <c r="H78" s="52"/>
      <c r="I78" s="52"/>
      <c r="J78" s="52"/>
      <c r="K78" s="52"/>
      <c r="L78" s="52"/>
      <c r="M78" s="52"/>
      <c r="N78" s="53">
        <v>26.95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3">
        <v>60.0</v>
      </c>
      <c r="Z78" s="52"/>
      <c r="AA78" s="52"/>
      <c r="AB78" s="52"/>
      <c r="AC78" s="52"/>
      <c r="AD78" s="52"/>
      <c r="AE78" s="52"/>
      <c r="AF78" s="52"/>
      <c r="AG78" s="53">
        <v>52.64</v>
      </c>
      <c r="AH78" s="53">
        <v>31.94</v>
      </c>
      <c r="AI78" s="52"/>
      <c r="AJ78" s="52"/>
      <c r="AK78" s="52"/>
      <c r="AL78" s="53">
        <f>B78+C78+D78+E78+F78+G78+H78+I78+J78+K78+L78+M78+N78+O78+P78+Q78+R78+S78+T78+U78+V78+W78+X78+Y78+Z78+AA78+AB78+AC78+AD78+AE78+AF78+AG78+AH78+AI78+AJ78+AK78</f>
        <v>312.49</v>
      </c>
    </row>
    <row r="79" spans="1:38" ht="16">
      <c r="A79" s="43" t="s">
        <v>76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3">
        <v>162.6</v>
      </c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3">
        <f>B79+C79+D79+E79+F79+G79+H79+I79+J79+K79+L79+M79+N79+O79+P79+Q79+R79+S79+T79+U79+V79+W79+X79+Y79+Z79+AA79+AB79+AC79+AD79+AE79+AF79+AG79+AH79+AI79+AJ79+AK79</f>
        <v>162.6</v>
      </c>
    </row>
    <row r="80" spans="1:38" ht="16">
      <c r="A80" s="44" t="s">
        <v>77</v>
      </c>
      <c r="B80" s="55">
        <f>B78+B79</f>
        <v>0.0</v>
      </c>
      <c r="C80" s="54">
        <f>C78+C79</f>
        <v>41.96</v>
      </c>
      <c r="D80" s="54">
        <f>D78+D79</f>
        <v>99.0</v>
      </c>
      <c r="E80" s="55">
        <f>E78+E79</f>
        <v>0.0</v>
      </c>
      <c r="F80" s="55">
        <f>F78+F79</f>
        <v>0.0</v>
      </c>
      <c r="G80" s="55">
        <f>G78+G79</f>
        <v>0.0</v>
      </c>
      <c r="H80" s="55">
        <f>H78+H79</f>
        <v>0.0</v>
      </c>
      <c r="I80" s="55">
        <f>I78+I79</f>
        <v>0.0</v>
      </c>
      <c r="J80" s="55">
        <f>J78+J79</f>
        <v>0.0</v>
      </c>
      <c r="K80" s="55">
        <f>K78+K79</f>
        <v>0.0</v>
      </c>
      <c r="L80" s="55">
        <f>L78+L79</f>
        <v>0.0</v>
      </c>
      <c r="M80" s="55">
        <f>M78+M79</f>
        <v>0.0</v>
      </c>
      <c r="N80" s="54">
        <f>N78+N79</f>
        <v>26.95</v>
      </c>
      <c r="O80" s="55">
        <f>O78+O79</f>
        <v>0.0</v>
      </c>
      <c r="P80" s="55">
        <f>P78+P79</f>
        <v>0.0</v>
      </c>
      <c r="Q80" s="55">
        <f>Q78+Q79</f>
        <v>0.0</v>
      </c>
      <c r="R80" s="55">
        <f>R78+R79</f>
        <v>0.0</v>
      </c>
      <c r="S80" s="55">
        <f>S78+S79</f>
        <v>0.0</v>
      </c>
      <c r="T80" s="55">
        <f>T78+T79</f>
        <v>0.0</v>
      </c>
      <c r="U80" s="55">
        <f>U78+U79</f>
        <v>0.0</v>
      </c>
      <c r="V80" s="55">
        <f>V78+V79</f>
        <v>0.0</v>
      </c>
      <c r="W80" s="55">
        <f>W78+W79</f>
        <v>0.0</v>
      </c>
      <c r="X80" s="55">
        <f>X78+X79</f>
        <v>0.0</v>
      </c>
      <c r="Y80" s="54">
        <f>Y78+Y79</f>
        <v>222.6</v>
      </c>
      <c r="Z80" s="55">
        <f>Z78+Z79</f>
        <v>0.0</v>
      </c>
      <c r="AA80" s="55">
        <f>AA78+AA79</f>
        <v>0.0</v>
      </c>
      <c r="AB80" s="55">
        <f>AB78+AB79</f>
        <v>0.0</v>
      </c>
      <c r="AC80" s="55">
        <f>AC78+AC79</f>
        <v>0.0</v>
      </c>
      <c r="AD80" s="55">
        <f>AD78+AD79</f>
        <v>0.0</v>
      </c>
      <c r="AE80" s="55">
        <f>AE78+AE79</f>
        <v>0.0</v>
      </c>
      <c r="AF80" s="55">
        <f>AF78+AF79</f>
        <v>0.0</v>
      </c>
      <c r="AG80" s="54">
        <f>AG78+AG79</f>
        <v>52.64</v>
      </c>
      <c r="AH80" s="54">
        <f>AH78+AH79</f>
        <v>31.94</v>
      </c>
      <c r="AI80" s="55">
        <f>AI78+AI79</f>
        <v>0.0</v>
      </c>
      <c r="AJ80" s="55">
        <f>AJ78+AJ79</f>
        <v>0.0</v>
      </c>
      <c r="AK80" s="55">
        <f>AK78+AK79</f>
        <v>0.0</v>
      </c>
      <c r="AL80" s="55">
        <f>B80+C80+D80+E80+F80+G80+H80+I80+J80+K80+L80+M80+N80+O80+P80+Q80+R80+S80+T80+U80+V80+W80+X80+Y80+Z80+AA80+AB80+AC80+AD80+AE80+AF80+AG80+AH80+AI80+AJ80+AK80</f>
        <v>475.09</v>
      </c>
    </row>
    <row r="81" spans="1:38" ht="16">
      <c r="A81" s="42" t="s">
        <v>78</v>
      </c>
      <c r="B81" s="52"/>
      <c r="C81" s="52"/>
      <c r="D81" s="52"/>
      <c r="E81" s="52"/>
      <c r="F81" s="53">
        <v>15.0</v>
      </c>
      <c r="G81" s="52"/>
      <c r="H81" s="52"/>
      <c r="I81" s="52"/>
      <c r="J81" s="53">
        <v>12.46</v>
      </c>
      <c r="K81" s="52"/>
      <c r="L81" s="52"/>
      <c r="M81" s="52"/>
      <c r="N81" s="52"/>
      <c r="O81" s="53">
        <v>20.0</v>
      </c>
      <c r="P81" s="53">
        <v>10.0</v>
      </c>
      <c r="Q81" s="53">
        <v>20.1</v>
      </c>
      <c r="R81" s="52"/>
      <c r="S81" s="53">
        <v>15.0</v>
      </c>
      <c r="T81" s="53">
        <v>25.0</v>
      </c>
      <c r="U81" s="52"/>
      <c r="V81" s="52"/>
      <c r="W81" s="53">
        <v>69.0</v>
      </c>
      <c r="X81" s="53">
        <v>64.0</v>
      </c>
      <c r="Y81" s="52"/>
      <c r="Z81" s="52"/>
      <c r="AA81" s="53">
        <v>2.0</v>
      </c>
      <c r="AB81" s="53">
        <v>25.0</v>
      </c>
      <c r="AC81" s="53">
        <v>10.0</v>
      </c>
      <c r="AD81" s="53">
        <v>20.0</v>
      </c>
      <c r="AE81" s="53">
        <v>10.0</v>
      </c>
      <c r="AF81" s="53">
        <v>54.0</v>
      </c>
      <c r="AG81" s="52"/>
      <c r="AH81" s="53">
        <v>10.0</v>
      </c>
      <c r="AI81" s="52"/>
      <c r="AJ81" s="52"/>
      <c r="AK81" s="53">
        <v>15.0</v>
      </c>
      <c r="AL81" s="53">
        <f>B81+C81+D81+E81+F81+G81+H81+I81+J81+K81+L81+M81+N81+O81+P81+Q81+R81+S81+T81+U81+V81+W81+X81+Y81+Z81+AA81+AB81+AC81+AD81+AE81+AF81+AG81+AH81+AI81+AJ81+AK81</f>
        <v>396.56</v>
      </c>
    </row>
    <row r="82" spans="1:38" ht="16">
      <c r="A82" s="42" t="s">
        <v>79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3">
        <v>730.0</v>
      </c>
      <c r="N82" s="52"/>
      <c r="O82" s="52"/>
      <c r="P82" s="53">
        <v>650.0</v>
      </c>
      <c r="Q82" s="53">
        <v>596.0</v>
      </c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3">
        <f>B82+C82+D82+E82+F82+G82+H82+I82+J82+K82+L82+M82+N82+O82+P82+Q82+R82+S82+T82+U82+V82+W82+X82+Y82+Z82+AA82+AB82+AC82+AD82+AE82+AF82+AG82+AH82+AI82+AJ82+AK82</f>
        <v>1976.0</v>
      </c>
    </row>
    <row r="83" spans="1:38" ht="16">
      <c r="A83" s="42" t="s">
        <v>80</v>
      </c>
      <c r="B83" s="53">
        <v>2500.0</v>
      </c>
      <c r="C83" s="52"/>
      <c r="D83" s="53">
        <v>691.17</v>
      </c>
      <c r="E83" s="52"/>
      <c r="F83" s="53">
        <v>691.17</v>
      </c>
      <c r="G83" s="53">
        <v>2500.0</v>
      </c>
      <c r="H83" s="52"/>
      <c r="I83" s="52"/>
      <c r="J83" s="52"/>
      <c r="K83" s="53">
        <v>2500.0</v>
      </c>
      <c r="L83" s="53">
        <v>741.17</v>
      </c>
      <c r="M83" s="52"/>
      <c r="N83" s="52"/>
      <c r="O83" s="53">
        <v>3191.17</v>
      </c>
      <c r="P83" s="53">
        <v>691.17</v>
      </c>
      <c r="Q83" s="52"/>
      <c r="R83" s="52"/>
      <c r="S83" s="53">
        <v>3191.17</v>
      </c>
      <c r="T83" s="52"/>
      <c r="U83" s="52"/>
      <c r="V83" s="52"/>
      <c r="W83" s="52"/>
      <c r="X83" s="53">
        <v>2500.0</v>
      </c>
      <c r="Y83" s="52"/>
      <c r="Z83" s="53">
        <v>691.17</v>
      </c>
      <c r="AA83" s="53">
        <v>691.17</v>
      </c>
      <c r="AB83" s="53">
        <v>2750.0</v>
      </c>
      <c r="AC83" s="53">
        <v>916.17</v>
      </c>
      <c r="AD83" s="52"/>
      <c r="AE83" s="52"/>
      <c r="AF83" s="53">
        <v>2500.0</v>
      </c>
      <c r="AG83" s="52"/>
      <c r="AH83" s="53">
        <v>691.17</v>
      </c>
      <c r="AI83" s="52"/>
      <c r="AJ83" s="52"/>
      <c r="AK83" s="53">
        <v>691.17</v>
      </c>
      <c r="AL83" s="53">
        <f>B83+C83+D83+E83+F83+G83+H83+I83+J83+K83+L83+M83+N83+O83+P83+Q83+R83+S83+T83+U83+V83+W83+X83+Y83+Z83+AA83+AB83+AC83+AD83+AE83+AF83+AG83+AH83+AI83+AJ83+AK83</f>
        <v>28127.86999999999</v>
      </c>
    </row>
    <row r="84" spans="1:38" ht="16">
      <c r="A84" s="43" t="s">
        <v>81</v>
      </c>
      <c r="B84" s="52"/>
      <c r="C84" s="53">
        <v>375.0</v>
      </c>
      <c r="D84" s="53">
        <v>375.0</v>
      </c>
      <c r="E84" s="52"/>
      <c r="F84" s="52"/>
      <c r="G84" s="53">
        <v>375.0</v>
      </c>
      <c r="H84" s="52"/>
      <c r="I84" s="52"/>
      <c r="J84" s="52"/>
      <c r="K84" s="52"/>
      <c r="L84" s="52"/>
      <c r="M84" s="52"/>
      <c r="N84" s="52"/>
      <c r="O84" s="53">
        <v>375.0</v>
      </c>
      <c r="P84" s="52"/>
      <c r="Q84" s="52"/>
      <c r="R84" s="52"/>
      <c r="S84" s="53">
        <v>375.0</v>
      </c>
      <c r="T84" s="52"/>
      <c r="U84" s="52"/>
      <c r="V84" s="52"/>
      <c r="W84" s="52"/>
      <c r="X84" s="53">
        <v>375.0</v>
      </c>
      <c r="Y84" s="52"/>
      <c r="Z84" s="52"/>
      <c r="AA84" s="52"/>
      <c r="AB84" s="53">
        <v>375.0</v>
      </c>
      <c r="AC84" s="52"/>
      <c r="AD84" s="52"/>
      <c r="AE84" s="52"/>
      <c r="AF84" s="53">
        <v>375.0</v>
      </c>
      <c r="AG84" s="52"/>
      <c r="AH84" s="52"/>
      <c r="AI84" s="52"/>
      <c r="AJ84" s="52"/>
      <c r="AK84" s="52"/>
      <c r="AL84" s="53">
        <f>B84+C84+D84+E84+F84+G84+H84+I84+J84+K84+L84+M84+N84+O84+P84+Q84+R84+S84+T84+U84+V84+W84+X84+Y84+Z84+AA84+AB84+AC84+AD84+AE84+AF84+AG84+AH84+AI84+AJ84+AK84</f>
        <v>3000.0</v>
      </c>
    </row>
    <row r="85" spans="1:38" ht="16">
      <c r="A85" s="43" t="s">
        <v>82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3">
        <v>324.0</v>
      </c>
      <c r="AJ85" s="52"/>
      <c r="AK85" s="52"/>
      <c r="AL85" s="53">
        <f>B85+C85+D85+E85+F85+G85+H85+I85+J85+K85+L85+M85+N85+O85+P85+Q85+R85+S85+T85+U85+V85+W85+X85+Y85+Z85+AA85+AB85+AC85+AD85+AE85+AF85+AG85+AH85+AI85+AJ85+AK85</f>
        <v>324.0</v>
      </c>
    </row>
    <row r="86" spans="1:38" ht="16">
      <c r="A86" s="44" t="s">
        <v>83</v>
      </c>
      <c r="B86" s="54">
        <f>B83+B84+B85</f>
        <v>2500.0</v>
      </c>
      <c r="C86" s="54">
        <f>C83+C84+C85</f>
        <v>375.0</v>
      </c>
      <c r="D86" s="54">
        <f>D83+D84+D85</f>
        <v>1066.17</v>
      </c>
      <c r="E86" s="55">
        <f>E83+E84+E85</f>
        <v>0.0</v>
      </c>
      <c r="F86" s="54">
        <f>F83+F84+F85</f>
        <v>691.17</v>
      </c>
      <c r="G86" s="54">
        <f>G83+G84+G85</f>
        <v>2875.0</v>
      </c>
      <c r="H86" s="55">
        <f>H83+H84+H85</f>
        <v>0.0</v>
      </c>
      <c r="I86" s="55">
        <f>I83+I84+I85</f>
        <v>0.0</v>
      </c>
      <c r="J86" s="55">
        <f>J83+J84+J85</f>
        <v>0.0</v>
      </c>
      <c r="K86" s="54">
        <f>K83+K84+K85</f>
        <v>2500.0</v>
      </c>
      <c r="L86" s="54">
        <f>L83+L84+L85</f>
        <v>741.17</v>
      </c>
      <c r="M86" s="55">
        <f>M83+M84+M85</f>
        <v>0.0</v>
      </c>
      <c r="N86" s="55">
        <f>N83+N84+N85</f>
        <v>0.0</v>
      </c>
      <c r="O86" s="54">
        <f>O83+O84+O85</f>
        <v>3566.17</v>
      </c>
      <c r="P86" s="54">
        <f>P83+P84+P85</f>
        <v>691.17</v>
      </c>
      <c r="Q86" s="55">
        <f>Q83+Q84+Q85</f>
        <v>0.0</v>
      </c>
      <c r="R86" s="55">
        <f>R83+R84+R85</f>
        <v>0.0</v>
      </c>
      <c r="S86" s="54">
        <f>S83+S84+S85</f>
        <v>3566.17</v>
      </c>
      <c r="T86" s="55">
        <f>T83+T84+T85</f>
        <v>0.0</v>
      </c>
      <c r="U86" s="55">
        <f>U83+U84+U85</f>
        <v>0.0</v>
      </c>
      <c r="V86" s="55">
        <f>V83+V84+V85</f>
        <v>0.0</v>
      </c>
      <c r="W86" s="55">
        <f>W83+W84+W85</f>
        <v>0.0</v>
      </c>
      <c r="X86" s="54">
        <f>X83+X84+X85</f>
        <v>2875.0</v>
      </c>
      <c r="Y86" s="55">
        <f>Y83+Y84+Y85</f>
        <v>0.0</v>
      </c>
      <c r="Z86" s="54">
        <f>Z83+Z84+Z85</f>
        <v>691.17</v>
      </c>
      <c r="AA86" s="54">
        <f>AA83+AA84+AA85</f>
        <v>691.17</v>
      </c>
      <c r="AB86" s="54">
        <f>AB83+AB84+AB85</f>
        <v>3125.0</v>
      </c>
      <c r="AC86" s="54">
        <f>AC83+AC84+AC85</f>
        <v>916.17</v>
      </c>
      <c r="AD86" s="55">
        <f>AD83+AD84+AD85</f>
        <v>0.0</v>
      </c>
      <c r="AE86" s="55">
        <f>AE83+AE84+AE85</f>
        <v>0.0</v>
      </c>
      <c r="AF86" s="54">
        <f>AF83+AF84+AF85</f>
        <v>2875.0</v>
      </c>
      <c r="AG86" s="55">
        <f>AG83+AG84+AG85</f>
        <v>0.0</v>
      </c>
      <c r="AH86" s="54">
        <f>AH83+AH84+AH85</f>
        <v>691.17</v>
      </c>
      <c r="AI86" s="54">
        <f>AI83+AI84+AI85</f>
        <v>324.0</v>
      </c>
      <c r="AJ86" s="55">
        <f>AJ83+AJ84+AJ85</f>
        <v>0.0</v>
      </c>
      <c r="AK86" s="54">
        <f>AK83+AK84+AK85</f>
        <v>691.17</v>
      </c>
      <c r="AL86" s="55">
        <f>B86+C86+D86+E86+F86+G86+H86+I86+J86+K86+L86+M86+N86+O86+P86+Q86+R86+S86+T86+U86+V86+W86+X86+Y86+Z86+AA86+AB86+AC86+AD86+AE86+AF86+AG86+AH86+AI86+AJ86+AK86</f>
        <v>31451.86999999999</v>
      </c>
    </row>
    <row r="87" spans="1:38" ht="16">
      <c r="A87" s="42" t="s">
        <v>84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</row>
    <row r="88" spans="1:38" ht="16">
      <c r="A88" s="43" t="s">
        <v>85</v>
      </c>
      <c r="B88" s="52"/>
      <c r="C88" s="53">
        <v>2500.0</v>
      </c>
      <c r="D88" s="52"/>
      <c r="E88" s="52"/>
      <c r="F88" s="52"/>
      <c r="G88" s="53">
        <v>2500.0</v>
      </c>
      <c r="H88" s="52"/>
      <c r="I88" s="52"/>
      <c r="J88" s="52"/>
      <c r="K88" s="53">
        <v>2500.0</v>
      </c>
      <c r="L88" s="52"/>
      <c r="M88" s="52"/>
      <c r="N88" s="52"/>
      <c r="O88" s="53">
        <v>2500.0</v>
      </c>
      <c r="P88" s="52"/>
      <c r="Q88" s="52"/>
      <c r="R88" s="52"/>
      <c r="S88" s="52"/>
      <c r="T88" s="53">
        <v>2550.0</v>
      </c>
      <c r="U88" s="52"/>
      <c r="V88" s="52"/>
      <c r="W88" s="52"/>
      <c r="X88" s="52"/>
      <c r="Y88" s="53">
        <v>3067.98</v>
      </c>
      <c r="Z88" s="52"/>
      <c r="AA88" s="52"/>
      <c r="AB88" s="53">
        <v>2806.49</v>
      </c>
      <c r="AC88" s="52"/>
      <c r="AD88" s="52"/>
      <c r="AE88" s="52"/>
      <c r="AF88" s="52"/>
      <c r="AG88" s="53">
        <v>2806.49</v>
      </c>
      <c r="AH88" s="52"/>
      <c r="AI88" s="52"/>
      <c r="AJ88" s="52"/>
      <c r="AK88" s="52"/>
      <c r="AL88" s="53">
        <f>B88+C88+D88+E88+F88+G88+H88+I88+J88+K88+L88+M88+N88+O88+P88+Q88+R88+S88+T88+U88+V88+W88+X88+Y88+Z88+AA88+AB88+AC88+AD88+AE88+AF88+AG88+AH88+AI88+AJ88+AK88</f>
        <v>21230.96</v>
      </c>
    </row>
    <row r="89" spans="1:38" ht="16">
      <c r="A89" s="43" t="s">
        <v>86</v>
      </c>
      <c r="B89" s="52"/>
      <c r="C89" s="53">
        <v>61.58</v>
      </c>
      <c r="D89" s="53">
        <v>111.86</v>
      </c>
      <c r="E89" s="53">
        <v>195.35</v>
      </c>
      <c r="F89" s="53">
        <v>114.93</v>
      </c>
      <c r="G89" s="52"/>
      <c r="H89" s="53">
        <v>37.8</v>
      </c>
      <c r="I89" s="53">
        <v>30.59</v>
      </c>
      <c r="J89" s="53">
        <v>42.53</v>
      </c>
      <c r="K89" s="53">
        <v>147.28</v>
      </c>
      <c r="L89" s="53">
        <v>192.76</v>
      </c>
      <c r="M89" s="53">
        <v>42.27</v>
      </c>
      <c r="N89" s="53">
        <v>137.04</v>
      </c>
      <c r="O89" s="53">
        <v>96.94</v>
      </c>
      <c r="P89" s="53">
        <v>106.62</v>
      </c>
      <c r="Q89" s="52"/>
      <c r="R89" s="52"/>
      <c r="S89" s="53">
        <v>50.38</v>
      </c>
      <c r="T89" s="53">
        <v>128.84</v>
      </c>
      <c r="U89" s="52"/>
      <c r="V89" s="52"/>
      <c r="W89" s="53">
        <v>23.87</v>
      </c>
      <c r="X89" s="52"/>
      <c r="Y89" s="53">
        <v>436.8</v>
      </c>
      <c r="Z89" s="53">
        <v>41.24</v>
      </c>
      <c r="AA89" s="53">
        <v>120.49</v>
      </c>
      <c r="AB89" s="52"/>
      <c r="AC89" s="53">
        <v>46.04</v>
      </c>
      <c r="AD89" s="53">
        <v>129.98</v>
      </c>
      <c r="AE89" s="53">
        <v>205.8</v>
      </c>
      <c r="AF89" s="52"/>
      <c r="AG89" s="52"/>
      <c r="AH89" s="52"/>
      <c r="AI89" s="53">
        <v>17.37</v>
      </c>
      <c r="AJ89" s="52"/>
      <c r="AK89" s="53">
        <v>64.8</v>
      </c>
      <c r="AL89" s="53">
        <f>B89+C89+D89+E89+F89+G89+H89+I89+J89+K89+L89+M89+N89+O89+P89+Q89+R89+S89+T89+U89+V89+W89+X89+Y89+Z89+AA89+AB89+AC89+AD89+AE89+AF89+AG89+AH89+AI89+AJ89+AK89</f>
        <v>2583.1600000000003</v>
      </c>
    </row>
    <row r="90" spans="1:38" ht="16">
      <c r="A90" s="43" t="s">
        <v>87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3">
        <v>125.75</v>
      </c>
      <c r="AI90" s="52"/>
      <c r="AJ90" s="52"/>
      <c r="AK90" s="52"/>
      <c r="AL90" s="53">
        <f>B90+C90+D90+E90+F90+G90+H90+I90+J90+K90+L90+M90+N90+O90+P90+Q90+R90+S90+T90+U90+V90+W90+X90+Y90+Z90+AA90+AB90+AC90+AD90+AE90+AF90+AG90+AH90+AI90+AJ90+AK90</f>
        <v>125.75</v>
      </c>
    </row>
    <row r="91" spans="1:38" ht="16">
      <c r="A91" s="43" t="s">
        <v>88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3">
        <v>306.62</v>
      </c>
      <c r="AJ91" s="52"/>
      <c r="AK91" s="52"/>
      <c r="AL91" s="53">
        <f>B91+C91+D91+E91+F91+G91+H91+I91+J91+K91+L91+M91+N91+O91+P91+Q91+R91+S91+T91+U91+V91+W91+X91+Y91+Z91+AA91+AB91+AC91+AD91+AE91+AF91+AG91+AH91+AI91+AJ91+AK91</f>
        <v>306.62</v>
      </c>
    </row>
    <row r="92" spans="1:38" ht="16">
      <c r="A92" s="43" t="s">
        <v>89</v>
      </c>
      <c r="B92" s="53">
        <v>77.85</v>
      </c>
      <c r="C92" s="52"/>
      <c r="D92" s="52"/>
      <c r="E92" s="52"/>
      <c r="F92" s="53">
        <v>149.91</v>
      </c>
      <c r="G92" s="52"/>
      <c r="H92" s="52"/>
      <c r="I92" s="52"/>
      <c r="J92" s="53">
        <v>142.9</v>
      </c>
      <c r="K92" s="52"/>
      <c r="L92" s="52"/>
      <c r="M92" s="52"/>
      <c r="N92" s="52"/>
      <c r="O92" s="53">
        <v>77.85</v>
      </c>
      <c r="P92" s="52"/>
      <c r="Q92" s="52"/>
      <c r="R92" s="52"/>
      <c r="S92" s="53">
        <v>77.85</v>
      </c>
      <c r="T92" s="52"/>
      <c r="U92" s="52"/>
      <c r="V92" s="52"/>
      <c r="W92" s="52"/>
      <c r="X92" s="53">
        <v>77.85</v>
      </c>
      <c r="Y92" s="52"/>
      <c r="Z92" s="52"/>
      <c r="AA92" s="52"/>
      <c r="AB92" s="53">
        <v>77.85</v>
      </c>
      <c r="AC92" s="52"/>
      <c r="AD92" s="52"/>
      <c r="AE92" s="53">
        <v>306.62</v>
      </c>
      <c r="AF92" s="53">
        <v>113.83</v>
      </c>
      <c r="AG92" s="52"/>
      <c r="AH92" s="52"/>
      <c r="AI92" s="52"/>
      <c r="AJ92" s="52"/>
      <c r="AK92" s="53">
        <v>77.85</v>
      </c>
      <c r="AL92" s="53">
        <f>B92+C92+D92+E92+F92+G92+H92+I92+J92+K92+L92+M92+N92+O92+P92+Q92+R92+S92+T92+U92+V92+W92+X92+Y92+Z92+AA92+AB92+AC92+AD92+AE92+AF92+AG92+AH92+AI92+AJ92+AK92</f>
        <v>1180.36</v>
      </c>
    </row>
    <row r="93" spans="1:38" ht="16">
      <c r="A93" s="43" t="s">
        <v>90</v>
      </c>
      <c r="B93" s="52"/>
      <c r="C93" s="52"/>
      <c r="D93" s="52"/>
      <c r="E93" s="53">
        <v>276.58</v>
      </c>
      <c r="F93" s="52"/>
      <c r="G93" s="52"/>
      <c r="H93" s="52"/>
      <c r="I93" s="53">
        <v>276.58</v>
      </c>
      <c r="J93" s="52"/>
      <c r="K93" s="52"/>
      <c r="L93" s="52"/>
      <c r="M93" s="53">
        <v>276.58</v>
      </c>
      <c r="N93" s="52"/>
      <c r="O93" s="52"/>
      <c r="P93" s="52"/>
      <c r="Q93" s="52"/>
      <c r="R93" s="53">
        <v>276.58</v>
      </c>
      <c r="S93" s="52"/>
      <c r="T93" s="52"/>
      <c r="U93" s="52"/>
      <c r="V93" s="53">
        <v>276.62</v>
      </c>
      <c r="W93" s="52"/>
      <c r="X93" s="52"/>
      <c r="Y93" s="52"/>
      <c r="Z93" s="52"/>
      <c r="AA93" s="53">
        <v>306.62</v>
      </c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3">
        <f>B93+C93+D93+E93+F93+G93+H93+I93+J93+K93+L93+M93+N93+O93+P93+Q93+R93+S93+T93+U93+V93+W93+X93+Y93+Z93+AA93+AB93+AC93+AD93+AE93+AF93+AG93+AH93+AI93+AJ93+AK93</f>
        <v>1689.56</v>
      </c>
    </row>
    <row r="94" spans="1:38" ht="16">
      <c r="A94" s="43" t="s">
        <v>91</v>
      </c>
      <c r="B94" s="53">
        <v>113.75</v>
      </c>
      <c r="C94" s="53">
        <v>223.0</v>
      </c>
      <c r="D94" s="53">
        <v>568.17</v>
      </c>
      <c r="E94" s="53">
        <v>95.0</v>
      </c>
      <c r="F94" s="53">
        <v>169.95</v>
      </c>
      <c r="G94" s="53">
        <v>540.75</v>
      </c>
      <c r="H94" s="53">
        <v>693.69</v>
      </c>
      <c r="I94" s="53">
        <v>182.12</v>
      </c>
      <c r="J94" s="53">
        <v>45.0</v>
      </c>
      <c r="K94" s="53">
        <v>310.74</v>
      </c>
      <c r="L94" s="53">
        <v>498.37</v>
      </c>
      <c r="M94" s="53">
        <v>642.69</v>
      </c>
      <c r="N94" s="53">
        <v>169.95</v>
      </c>
      <c r="O94" s="53">
        <v>113.75</v>
      </c>
      <c r="P94" s="53">
        <v>172.0</v>
      </c>
      <c r="Q94" s="53">
        <v>671.07</v>
      </c>
      <c r="R94" s="53">
        <v>1007.87</v>
      </c>
      <c r="S94" s="53">
        <v>117.85</v>
      </c>
      <c r="T94" s="53">
        <v>290.75</v>
      </c>
      <c r="U94" s="53">
        <v>697.82</v>
      </c>
      <c r="V94" s="53">
        <v>180.49</v>
      </c>
      <c r="W94" s="53">
        <v>169.95</v>
      </c>
      <c r="X94" s="53">
        <v>188.75</v>
      </c>
      <c r="Y94" s="53">
        <v>724.72</v>
      </c>
      <c r="Z94" s="53">
        <v>324.34</v>
      </c>
      <c r="AA94" s="53">
        <v>404.92</v>
      </c>
      <c r="AB94" s="53">
        <v>198.71</v>
      </c>
      <c r="AC94" s="53">
        <v>209.0</v>
      </c>
      <c r="AD94" s="53">
        <v>1145.14</v>
      </c>
      <c r="AE94" s="53">
        <v>370.87</v>
      </c>
      <c r="AF94" s="53">
        <v>484.49</v>
      </c>
      <c r="AG94" s="53">
        <v>349.03</v>
      </c>
      <c r="AH94" s="53">
        <v>598.41</v>
      </c>
      <c r="AI94" s="53">
        <v>561.89</v>
      </c>
      <c r="AJ94" s="53">
        <v>277.95</v>
      </c>
      <c r="AK94" s="53">
        <v>45.0</v>
      </c>
      <c r="AL94" s="53">
        <f>B94+C94+D94+E94+F94+G94+H94+I94+J94+K94+L94+M94+N94+O94+P94+Q94+R94+S94+T94+U94+V94+W94+X94+Y94+Z94+AA94+AB94+AC94+AD94+AE94+AF94+AG94+AH94+AI94+AJ94+AK94</f>
        <v>13557.949999999999</v>
      </c>
    </row>
    <row r="95" spans="1:38" ht="16">
      <c r="A95" s="44" t="s">
        <v>92</v>
      </c>
      <c r="B95" s="54">
        <f>B87+B88+B89+B90+B91+B92+B93+B94</f>
        <v>191.6</v>
      </c>
      <c r="C95" s="54">
        <f>C87+C88+C89+C90+C91+C92+C93+C94</f>
        <v>2784.58</v>
      </c>
      <c r="D95" s="54">
        <f>D87+D88+D89+D90+D91+D92+D93+D94</f>
        <v>680.03</v>
      </c>
      <c r="E95" s="54">
        <f>E87+E88+E89+E90+E91+E92+E93+E94</f>
        <v>566.93</v>
      </c>
      <c r="F95" s="54">
        <f>F87+F88+F89+F90+F91+F92+F93+F94</f>
        <v>434.79</v>
      </c>
      <c r="G95" s="54">
        <f>G87+G88+G89+G90+G91+G92+G93+G94</f>
        <v>3040.75</v>
      </c>
      <c r="H95" s="54">
        <f>H87+H88+H89+H90+H91+H92+H93+H94</f>
        <v>731.49</v>
      </c>
      <c r="I95" s="54">
        <f>I87+I88+I89+I90+I91+I92+I93+I94</f>
        <v>489.28999999999996</v>
      </c>
      <c r="J95" s="54">
        <f>J87+J88+J89+J90+J91+J92+J93+J94</f>
        <v>230.43</v>
      </c>
      <c r="K95" s="54">
        <f>K87+K88+K89+K90+K91+K92+K93+K94</f>
        <v>2958.0200000000004</v>
      </c>
      <c r="L95" s="54">
        <f>L87+L88+L89+L90+L91+L92+L93+L94</f>
        <v>691.13</v>
      </c>
      <c r="M95" s="54">
        <f>M87+M88+M89+M90+M91+M92+M93+M94</f>
        <v>961.54</v>
      </c>
      <c r="N95" s="54">
        <f>N87+N88+N89+N90+N91+N92+N93+N94</f>
        <v>306.99</v>
      </c>
      <c r="O95" s="54">
        <f>O87+O88+O89+O90+O91+O92+O93+O94</f>
        <v>2788.54</v>
      </c>
      <c r="P95" s="54">
        <f>P87+P88+P89+P90+P91+P92+P93+P94</f>
        <v>278.62</v>
      </c>
      <c r="Q95" s="54">
        <f>Q87+Q88+Q89+Q90+Q91+Q92+Q93+Q94</f>
        <v>671.07</v>
      </c>
      <c r="R95" s="54">
        <f>R87+R88+R89+R90+R91+R92+R93+R94</f>
        <v>1284.45</v>
      </c>
      <c r="S95" s="54">
        <f>S87+S88+S89+S90+S91+S92+S93+S94</f>
        <v>246.07999999999998</v>
      </c>
      <c r="T95" s="54">
        <f>T87+T88+T89+T90+T91+T92+T93+T94</f>
        <v>2969.59</v>
      </c>
      <c r="U95" s="54">
        <f>U87+U88+U89+U90+U91+U92+U93+U94</f>
        <v>697.82</v>
      </c>
      <c r="V95" s="54">
        <f>V87+V88+V89+V90+V91+V92+V93+V94</f>
        <v>457.11</v>
      </c>
      <c r="W95" s="54">
        <f>W87+W88+W89+W90+W91+W92+W93+W94</f>
        <v>193.82</v>
      </c>
      <c r="X95" s="54">
        <f>X87+X88+X89+X90+X91+X92+X93+X94</f>
        <v>266.6</v>
      </c>
      <c r="Y95" s="54">
        <f>Y87+Y88+Y89+Y90+Y91+Y92+Y93+Y94</f>
        <v>4229.5</v>
      </c>
      <c r="Z95" s="54">
        <f>Z87+Z88+Z89+Z90+Z91+Z92+Z93+Z94</f>
        <v>365.58</v>
      </c>
      <c r="AA95" s="54">
        <f>AA87+AA88+AA89+AA90+AA91+AA92+AA93+AA94</f>
        <v>832.03</v>
      </c>
      <c r="AB95" s="54">
        <f>AB87+AB88+AB89+AB90+AB91+AB92+AB93+AB94</f>
        <v>3083.0499999999997</v>
      </c>
      <c r="AC95" s="54">
        <f>AC87+AC88+AC89+AC90+AC91+AC92+AC93+AC94</f>
        <v>255.04</v>
      </c>
      <c r="AD95" s="54">
        <f>AD87+AD88+AD89+AD90+AD91+AD92+AD93+AD94</f>
        <v>1275.1200000000001</v>
      </c>
      <c r="AE95" s="54">
        <f>AE87+AE88+AE89+AE90+AE91+AE92+AE93+AE94</f>
        <v>883.2900000000001</v>
      </c>
      <c r="AF95" s="54">
        <f>AF87+AF88+AF89+AF90+AF91+AF92+AF93+AF94</f>
        <v>598.32</v>
      </c>
      <c r="AG95" s="54">
        <f>AG87+AG88+AG89+AG90+AG91+AG92+AG93+AG94</f>
        <v>3155.5199999999995</v>
      </c>
      <c r="AH95" s="54">
        <f>AH87+AH88+AH89+AH90+AH91+AH92+AH93+AH94</f>
        <v>724.16</v>
      </c>
      <c r="AI95" s="54">
        <f>AI87+AI88+AI89+AI90+AI91+AI92+AI93+AI94</f>
        <v>885.88</v>
      </c>
      <c r="AJ95" s="54">
        <f>AJ87+AJ88+AJ89+AJ90+AJ91+AJ92+AJ93+AJ94</f>
        <v>277.95</v>
      </c>
      <c r="AK95" s="54">
        <f>AK87+AK88+AK89+AK90+AK91+AK92+AK93+AK94</f>
        <v>187.64999999999998</v>
      </c>
      <c r="AL95" s="55">
        <f>B95+C95+D95+E95+F95+G95+H95+I95+J95+K95+L95+M95+N95+O95+P95+Q95+R95+S95+T95+U95+V95+W95+X95+Y95+Z95+AA95+AB95+AC95+AD95+AE95+AF95+AG95+AH95+AI95+AJ95+AK95</f>
        <v>40674.35999999999</v>
      </c>
    </row>
    <row r="96" spans="1:38" ht="16">
      <c r="A96" s="42" t="s">
        <v>93</v>
      </c>
      <c r="B96" s="52"/>
      <c r="C96" s="53">
        <v>237.63</v>
      </c>
      <c r="D96" s="52"/>
      <c r="E96" s="53">
        <v>338.65</v>
      </c>
      <c r="F96" s="53">
        <v>57.93</v>
      </c>
      <c r="G96" s="53">
        <v>512.0</v>
      </c>
      <c r="H96" s="52"/>
      <c r="I96" s="53">
        <v>258.31</v>
      </c>
      <c r="J96" s="53">
        <v>57.93</v>
      </c>
      <c r="K96" s="53">
        <v>169.02</v>
      </c>
      <c r="L96" s="53">
        <v>101.97</v>
      </c>
      <c r="M96" s="53">
        <v>169.02</v>
      </c>
      <c r="N96" s="53">
        <v>194.8</v>
      </c>
      <c r="O96" s="53">
        <v>239.15</v>
      </c>
      <c r="P96" s="52"/>
      <c r="Q96" s="53">
        <v>271.82</v>
      </c>
      <c r="R96" s="53">
        <v>83.95</v>
      </c>
      <c r="S96" s="53">
        <v>485.86</v>
      </c>
      <c r="T96" s="52"/>
      <c r="U96" s="53">
        <v>164.75</v>
      </c>
      <c r="V96" s="53">
        <v>83.95</v>
      </c>
      <c r="W96" s="53">
        <v>228.25</v>
      </c>
      <c r="X96" s="53">
        <v>290.86</v>
      </c>
      <c r="Y96" s="53">
        <v>389.88</v>
      </c>
      <c r="Z96" s="52"/>
      <c r="AA96" s="53">
        <v>254.2</v>
      </c>
      <c r="AB96" s="53">
        <v>454.67</v>
      </c>
      <c r="AC96" s="53">
        <v>299.27</v>
      </c>
      <c r="AD96" s="52"/>
      <c r="AE96" s="53">
        <v>383.22</v>
      </c>
      <c r="AF96" s="53">
        <v>88.0</v>
      </c>
      <c r="AG96" s="53">
        <v>293.78</v>
      </c>
      <c r="AH96" s="52"/>
      <c r="AI96" s="53">
        <v>265.17</v>
      </c>
      <c r="AJ96" s="53">
        <v>58.0</v>
      </c>
      <c r="AK96" s="52"/>
      <c r="AL96" s="53">
        <f>B96+C96+D96+E96+F96+G96+H96+I96+J96+K96+L96+M96+N96+O96+P96+Q96+R96+S96+T96+U96+V96+W96+X96+Y96+Z96+AA96+AB96+AC96+AD96+AE96+AF96+AG96+AH96+AI96+AJ96+AK96</f>
        <v>6432.040000000001</v>
      </c>
    </row>
    <row r="97" spans="1:38" ht="16">
      <c r="A97" s="42" t="s">
        <v>94</v>
      </c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</row>
    <row r="98" spans="1:38" ht="16">
      <c r="A98" s="43" t="s">
        <v>95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3">
        <v>1041.0</v>
      </c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3">
        <f>B98+C98+D98+E98+F98+G98+H98+I98+J98+K98+L98+M98+N98+O98+P98+Q98+R98+S98+T98+U98+V98+W98+X98+Y98+Z98+AA98+AB98+AC98+AD98+AE98+AF98+AG98+AH98+AI98+AJ98+AK98</f>
        <v>1041.0</v>
      </c>
    </row>
    <row r="99" spans="1:38" ht="16">
      <c r="A99" s="43" t="s">
        <v>96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</row>
    <row r="100" spans="1:38" ht="16">
      <c r="A100" s="45" t="s">
        <v>97</v>
      </c>
      <c r="B100" s="52"/>
      <c r="C100" s="53">
        <v>160.69</v>
      </c>
      <c r="D100" s="53">
        <v>1353.3</v>
      </c>
      <c r="E100" s="52"/>
      <c r="F100" s="52"/>
      <c r="G100" s="53">
        <v>96.51</v>
      </c>
      <c r="H100" s="52"/>
      <c r="I100" s="53">
        <v>1086.7</v>
      </c>
      <c r="J100" s="53">
        <v>219.43</v>
      </c>
      <c r="K100" s="52"/>
      <c r="L100" s="53">
        <v>954.91</v>
      </c>
      <c r="M100" s="52"/>
      <c r="N100" s="52"/>
      <c r="O100" s="53">
        <v>1586.3</v>
      </c>
      <c r="P100" s="52"/>
      <c r="Q100" s="53">
        <v>1073.32</v>
      </c>
      <c r="R100" s="52"/>
      <c r="S100" s="52"/>
      <c r="T100" s="52"/>
      <c r="U100" s="52"/>
      <c r="V100" s="52"/>
      <c r="W100" s="52"/>
      <c r="X100" s="52"/>
      <c r="Y100" s="53">
        <v>1280.15</v>
      </c>
      <c r="Z100" s="52"/>
      <c r="AA100" s="52"/>
      <c r="AB100" s="52"/>
      <c r="AC100" s="52"/>
      <c r="AD100" s="53">
        <v>1060.68</v>
      </c>
      <c r="AE100" s="52"/>
      <c r="AF100" s="52"/>
      <c r="AG100" s="52"/>
      <c r="AH100" s="53">
        <v>1513.69</v>
      </c>
      <c r="AI100" s="53">
        <v>1442.18</v>
      </c>
      <c r="AJ100" s="52"/>
      <c r="AK100" s="52"/>
      <c r="AL100" s="53">
        <f>B100+C100+D100+E100+F100+G100+H100+I100+J100+K100+L100+M100+N100+O100+P100+Q100+R100+S100+T100+U100+V100+W100+X100+Y100+Z100+AA100+AB100+AC100+AD100+AE100+AF100+AG100+AH100+AI100+AJ100+AK100</f>
        <v>11827.86</v>
      </c>
    </row>
    <row r="101" spans="1:38" ht="16">
      <c r="A101" s="46" t="s">
        <v>98</v>
      </c>
      <c r="B101" s="55">
        <f>B99+B100</f>
        <v>0.0</v>
      </c>
      <c r="C101" s="54">
        <f>C99+C100</f>
        <v>160.69</v>
      </c>
      <c r="D101" s="54">
        <f>D99+D100</f>
        <v>1353.3</v>
      </c>
      <c r="E101" s="55">
        <f>E99+E100</f>
        <v>0.0</v>
      </c>
      <c r="F101" s="55">
        <f>F99+F100</f>
        <v>0.0</v>
      </c>
      <c r="G101" s="54">
        <f>G99+G100</f>
        <v>96.51</v>
      </c>
      <c r="H101" s="55">
        <f>H99+H100</f>
        <v>0.0</v>
      </c>
      <c r="I101" s="54">
        <f>I99+I100</f>
        <v>1086.7</v>
      </c>
      <c r="J101" s="54">
        <f>J99+J100</f>
        <v>219.43</v>
      </c>
      <c r="K101" s="55">
        <f>K99+K100</f>
        <v>0.0</v>
      </c>
      <c r="L101" s="54">
        <f>L99+L100</f>
        <v>954.91</v>
      </c>
      <c r="M101" s="55">
        <f>M99+M100</f>
        <v>0.0</v>
      </c>
      <c r="N101" s="55">
        <f>N99+N100</f>
        <v>0.0</v>
      </c>
      <c r="O101" s="54">
        <f>O99+O100</f>
        <v>1586.3</v>
      </c>
      <c r="P101" s="55">
        <f>P99+P100</f>
        <v>0.0</v>
      </c>
      <c r="Q101" s="54">
        <f>Q99+Q100</f>
        <v>1073.32</v>
      </c>
      <c r="R101" s="55">
        <f>R99+R100</f>
        <v>0.0</v>
      </c>
      <c r="S101" s="55">
        <f>S99+S100</f>
        <v>0.0</v>
      </c>
      <c r="T101" s="55">
        <f>T99+T100</f>
        <v>0.0</v>
      </c>
      <c r="U101" s="55">
        <f>U99+U100</f>
        <v>0.0</v>
      </c>
      <c r="V101" s="55">
        <f>V99+V100</f>
        <v>0.0</v>
      </c>
      <c r="W101" s="55">
        <f>W99+W100</f>
        <v>0.0</v>
      </c>
      <c r="X101" s="55">
        <f>X99+X100</f>
        <v>0.0</v>
      </c>
      <c r="Y101" s="54">
        <f>Y99+Y100</f>
        <v>1280.15</v>
      </c>
      <c r="Z101" s="55">
        <f>Z99+Z100</f>
        <v>0.0</v>
      </c>
      <c r="AA101" s="55">
        <f>AA99+AA100</f>
        <v>0.0</v>
      </c>
      <c r="AB101" s="55">
        <f>AB99+AB100</f>
        <v>0.0</v>
      </c>
      <c r="AC101" s="55">
        <f>AC99+AC100</f>
        <v>0.0</v>
      </c>
      <c r="AD101" s="54">
        <f>AD99+AD100</f>
        <v>1060.68</v>
      </c>
      <c r="AE101" s="55">
        <f>AE99+AE100</f>
        <v>0.0</v>
      </c>
      <c r="AF101" s="55">
        <f>AF99+AF100</f>
        <v>0.0</v>
      </c>
      <c r="AG101" s="55">
        <f>AG99+AG100</f>
        <v>0.0</v>
      </c>
      <c r="AH101" s="54">
        <f>AH99+AH100</f>
        <v>1513.69</v>
      </c>
      <c r="AI101" s="54">
        <f>AI99+AI100</f>
        <v>1442.18</v>
      </c>
      <c r="AJ101" s="55">
        <f>AJ99+AJ100</f>
        <v>0.0</v>
      </c>
      <c r="AK101" s="55">
        <f>AK99+AK100</f>
        <v>0.0</v>
      </c>
      <c r="AL101" s="55">
        <f>B101+C101+D101+E101+F101+G101+H101+I101+J101+K101+L101+M101+N101+O101+P101+Q101+R101+S101+T101+U101+V101+W101+X101+Y101+Z101+AA101+AB101+AC101+AD101+AE101+AF101+AG101+AH101+AI101+AJ101+AK101</f>
        <v>11827.86</v>
      </c>
    </row>
    <row r="102" spans="1:38" ht="16">
      <c r="A102" s="43" t="s">
        <v>99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3">
        <v>983.5</v>
      </c>
      <c r="T102" s="52"/>
      <c r="U102" s="52"/>
      <c r="V102" s="52"/>
      <c r="W102" s="52"/>
      <c r="X102" s="53">
        <v>807.0</v>
      </c>
      <c r="Y102" s="52"/>
      <c r="Z102" s="52"/>
      <c r="AA102" s="52"/>
      <c r="AB102" s="52"/>
      <c r="AC102" s="52"/>
      <c r="AD102" s="52"/>
      <c r="AE102" s="52"/>
      <c r="AF102" s="53">
        <v>975.0</v>
      </c>
      <c r="AG102" s="52"/>
      <c r="AH102" s="53">
        <v>100.0</v>
      </c>
      <c r="AI102" s="52"/>
      <c r="AJ102" s="52"/>
      <c r="AK102" s="52"/>
      <c r="AL102" s="53">
        <f>B102+C102+D102+E102+F102+G102+H102+I102+J102+K102+L102+M102+N102+O102+P102+Q102+R102+S102+T102+U102+V102+W102+X102+Y102+Z102+AA102+AB102+AC102+AD102+AE102+AF102+AG102+AH102+AI102+AJ102+AK102</f>
        <v>2865.5</v>
      </c>
    </row>
    <row r="103" spans="1:38" ht="16">
      <c r="A103" s="44" t="s">
        <v>100</v>
      </c>
      <c r="B103" s="55">
        <f>B97+B98+B101+B102</f>
        <v>0.0</v>
      </c>
      <c r="C103" s="54">
        <f>C97+C98+C101+C102</f>
        <v>160.69</v>
      </c>
      <c r="D103" s="54">
        <f>D97+D98+D101+D102</f>
        <v>1353.3</v>
      </c>
      <c r="E103" s="55">
        <f>E97+E98+E101+E102</f>
        <v>0.0</v>
      </c>
      <c r="F103" s="55">
        <f>F97+F98+F101+F102</f>
        <v>0.0</v>
      </c>
      <c r="G103" s="54">
        <f>G97+G98+G101+G102</f>
        <v>96.51</v>
      </c>
      <c r="H103" s="55">
        <f>H97+H98+H101+H102</f>
        <v>0.0</v>
      </c>
      <c r="I103" s="54">
        <f>I97+I98+I101+I102</f>
        <v>1086.7</v>
      </c>
      <c r="J103" s="54">
        <f>J97+J98+J101+J102</f>
        <v>219.43</v>
      </c>
      <c r="K103" s="55">
        <f>K97+K98+K101+K102</f>
        <v>0.0</v>
      </c>
      <c r="L103" s="54">
        <f>L97+L98+L101+L102</f>
        <v>954.91</v>
      </c>
      <c r="M103" s="55">
        <f>M97+M98+M101+M102</f>
        <v>0.0</v>
      </c>
      <c r="N103" s="55">
        <f>N97+N98+N101+N102</f>
        <v>0.0</v>
      </c>
      <c r="O103" s="54">
        <f>O97+O98+O101+O102</f>
        <v>1586.3</v>
      </c>
      <c r="P103" s="54">
        <f>P97+P98+P101+P102</f>
        <v>1041.0</v>
      </c>
      <c r="Q103" s="54">
        <f>Q97+Q98+Q101+Q102</f>
        <v>1073.32</v>
      </c>
      <c r="R103" s="55">
        <f>R97+R98+R101+R102</f>
        <v>0.0</v>
      </c>
      <c r="S103" s="54">
        <f>S97+S98+S101+S102</f>
        <v>983.5</v>
      </c>
      <c r="T103" s="55">
        <f>T97+T98+T101+T102</f>
        <v>0.0</v>
      </c>
      <c r="U103" s="55">
        <f>U97+U98+U101+U102</f>
        <v>0.0</v>
      </c>
      <c r="V103" s="55">
        <f>V97+V98+V101+V102</f>
        <v>0.0</v>
      </c>
      <c r="W103" s="55">
        <f>W97+W98+W101+W102</f>
        <v>0.0</v>
      </c>
      <c r="X103" s="54">
        <f>X97+X98+X101+X102</f>
        <v>807.0</v>
      </c>
      <c r="Y103" s="54">
        <f>Y97+Y98+Y101+Y102</f>
        <v>1280.15</v>
      </c>
      <c r="Z103" s="55">
        <f>Z97+Z98+Z101+Z102</f>
        <v>0.0</v>
      </c>
      <c r="AA103" s="55">
        <f>AA97+AA98+AA101+AA102</f>
        <v>0.0</v>
      </c>
      <c r="AB103" s="55">
        <f>AB97+AB98+AB101+AB102</f>
        <v>0.0</v>
      </c>
      <c r="AC103" s="55">
        <f>AC97+AC98+AC101+AC102</f>
        <v>0.0</v>
      </c>
      <c r="AD103" s="54">
        <f>AD97+AD98+AD101+AD102</f>
        <v>1060.68</v>
      </c>
      <c r="AE103" s="55">
        <f>AE97+AE98+AE101+AE102</f>
        <v>0.0</v>
      </c>
      <c r="AF103" s="54">
        <f>AF97+AF98+AF101+AF102</f>
        <v>975.0</v>
      </c>
      <c r="AG103" s="55">
        <f>AG97+AG98+AG101+AG102</f>
        <v>0.0</v>
      </c>
      <c r="AH103" s="54">
        <f>AH97+AH98+AH101+AH102</f>
        <v>1613.69</v>
      </c>
      <c r="AI103" s="54">
        <f>AI97+AI98+AI101+AI102</f>
        <v>1442.18</v>
      </c>
      <c r="AJ103" s="55">
        <f>AJ97+AJ98+AJ101+AJ102</f>
        <v>0.0</v>
      </c>
      <c r="AK103" s="55">
        <f>AK97+AK98+AK101+AK102</f>
        <v>0.0</v>
      </c>
      <c r="AL103" s="55">
        <f>B103+C103+D103+E103+F103+G103+H103+I103+J103+K103+L103+M103+N103+O103+P103+Q103+R103+S103+T103+U103+V103+W103+X103+Y103+Z103+AA103+AB103+AC103+AD103+AE103+AF103+AG103+AH103+AI103+AJ103+AK103</f>
        <v>15734.36</v>
      </c>
    </row>
    <row r="104" spans="1:38" ht="16">
      <c r="A104" s="42" t="s">
        <v>101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</row>
    <row r="105" spans="1:38" ht="16">
      <c r="A105" s="43" t="s">
        <v>102</v>
      </c>
      <c r="B105" s="52"/>
      <c r="C105" s="52"/>
      <c r="D105" s="52"/>
      <c r="E105" s="53">
        <v>303.3</v>
      </c>
      <c r="F105" s="52"/>
      <c r="G105" s="52"/>
      <c r="H105" s="52"/>
      <c r="I105" s="53">
        <v>303.3</v>
      </c>
      <c r="J105" s="52"/>
      <c r="K105" s="52"/>
      <c r="L105" s="52"/>
      <c r="M105" s="53">
        <v>303.3</v>
      </c>
      <c r="N105" s="52"/>
      <c r="O105" s="52"/>
      <c r="P105" s="52"/>
      <c r="Q105" s="52"/>
      <c r="R105" s="53">
        <v>303.3</v>
      </c>
      <c r="S105" s="52"/>
      <c r="T105" s="52"/>
      <c r="U105" s="52"/>
      <c r="V105" s="53">
        <v>303.3</v>
      </c>
      <c r="W105" s="52"/>
      <c r="X105" s="52"/>
      <c r="Y105" s="52"/>
      <c r="Z105" s="52"/>
      <c r="AA105" s="53">
        <v>303.3</v>
      </c>
      <c r="AB105" s="52"/>
      <c r="AC105" s="52"/>
      <c r="AD105" s="52"/>
      <c r="AE105" s="53">
        <v>303.3</v>
      </c>
      <c r="AF105" s="52"/>
      <c r="AG105" s="52"/>
      <c r="AH105" s="52"/>
      <c r="AI105" s="53">
        <v>303.3</v>
      </c>
      <c r="AJ105" s="52"/>
      <c r="AK105" s="52"/>
      <c r="AL105" s="53">
        <f>B105+C105+D105+E105+F105+G105+H105+I105+J105+K105+L105+M105+N105+O105+P105+Q105+R105+S105+T105+U105+V105+W105+X105+Y105+Z105+AA105+AB105+AC105+AD105+AE105+AF105+AG105+AH105+AI105+AJ105+AK105</f>
        <v>2426.4</v>
      </c>
    </row>
    <row r="106" spans="1:38" ht="16">
      <c r="A106" s="43" t="s">
        <v>103</v>
      </c>
      <c r="B106" s="52"/>
      <c r="C106" s="52"/>
      <c r="D106" s="52"/>
      <c r="E106" s="52"/>
      <c r="F106" s="52"/>
      <c r="G106" s="52"/>
      <c r="H106" s="52"/>
      <c r="I106" s="53">
        <v>55.04</v>
      </c>
      <c r="J106" s="53">
        <v>99.75</v>
      </c>
      <c r="K106" s="52"/>
      <c r="L106" s="52"/>
      <c r="M106" s="52"/>
      <c r="N106" s="52"/>
      <c r="O106" s="52"/>
      <c r="P106" s="52"/>
      <c r="Q106" s="53">
        <v>54.72</v>
      </c>
      <c r="R106" s="53">
        <v>41.38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3">
        <v>2.21</v>
      </c>
      <c r="AC106" s="52"/>
      <c r="AD106" s="52"/>
      <c r="AE106" s="52"/>
      <c r="AF106" s="52"/>
      <c r="AG106" s="52"/>
      <c r="AH106" s="53">
        <v>159.93</v>
      </c>
      <c r="AI106" s="53">
        <v>59.2</v>
      </c>
      <c r="AJ106" s="53">
        <v>155.38</v>
      </c>
      <c r="AK106" s="52"/>
      <c r="AL106" s="53">
        <f>B106+C106+D106+E106+F106+G106+H106+I106+J106+K106+L106+M106+N106+O106+P106+Q106+R106+S106+T106+U106+V106+W106+X106+Y106+Z106+AA106+AB106+AC106+AD106+AE106+AF106+AG106+AH106+AI106+AJ106+AK106</f>
        <v>627.6099999999999</v>
      </c>
    </row>
    <row r="107" spans="1:38" ht="16">
      <c r="A107" s="43" t="s">
        <v>104</v>
      </c>
      <c r="B107" s="52"/>
      <c r="C107" s="52"/>
      <c r="D107" s="52"/>
      <c r="E107" s="53">
        <v>1880.6</v>
      </c>
      <c r="F107" s="52"/>
      <c r="G107" s="52"/>
      <c r="H107" s="52"/>
      <c r="I107" s="52"/>
      <c r="J107" s="53">
        <v>1933.22</v>
      </c>
      <c r="K107" s="52"/>
      <c r="L107" s="52"/>
      <c r="M107" s="52"/>
      <c r="N107" s="53">
        <v>1933.22</v>
      </c>
      <c r="O107" s="52"/>
      <c r="P107" s="52"/>
      <c r="Q107" s="52"/>
      <c r="R107" s="53">
        <v>1933.22</v>
      </c>
      <c r="S107" s="52"/>
      <c r="T107" s="52"/>
      <c r="U107" s="52"/>
      <c r="V107" s="53">
        <v>2236.63</v>
      </c>
      <c r="W107" s="52"/>
      <c r="X107" s="52"/>
      <c r="Y107" s="52"/>
      <c r="Z107" s="52"/>
      <c r="AA107" s="53">
        <v>2236.63</v>
      </c>
      <c r="AB107" s="52"/>
      <c r="AC107" s="52"/>
      <c r="AD107" s="52"/>
      <c r="AE107" s="53">
        <v>964.3</v>
      </c>
      <c r="AF107" s="52"/>
      <c r="AG107" s="52"/>
      <c r="AH107" s="52"/>
      <c r="AI107" s="53">
        <v>964.29</v>
      </c>
      <c r="AJ107" s="52"/>
      <c r="AK107" s="52"/>
      <c r="AL107" s="53">
        <f>B107+C107+D107+E107+F107+G107+H107+I107+J107+K107+L107+M107+N107+O107+P107+Q107+R107+S107+T107+U107+V107+W107+X107+Y107+Z107+AA107+AB107+AC107+AD107+AE107+AF107+AG107+AH107+AI107+AJ107+AK107</f>
        <v>14082.11</v>
      </c>
    </row>
    <row r="108" spans="1:38" ht="16">
      <c r="A108" s="43" t="s">
        <v>105</v>
      </c>
      <c r="B108" s="52"/>
      <c r="C108" s="53">
        <v>53.43</v>
      </c>
      <c r="D108" s="53">
        <v>2336.24</v>
      </c>
      <c r="E108" s="53">
        <v>47.64</v>
      </c>
      <c r="F108" s="52"/>
      <c r="G108" s="52"/>
      <c r="H108" s="53">
        <v>18.06</v>
      </c>
      <c r="I108" s="53">
        <v>2079.61</v>
      </c>
      <c r="J108" s="53">
        <v>2383.75</v>
      </c>
      <c r="K108" s="53">
        <v>372.4</v>
      </c>
      <c r="L108" s="53">
        <v>381.05</v>
      </c>
      <c r="M108" s="53">
        <v>15.25</v>
      </c>
      <c r="N108" s="53">
        <v>348.09</v>
      </c>
      <c r="O108" s="53">
        <v>61.08</v>
      </c>
      <c r="P108" s="53">
        <v>10.77</v>
      </c>
      <c r="Q108" s="53">
        <v>3928.43</v>
      </c>
      <c r="R108" s="53">
        <v>3660.86</v>
      </c>
      <c r="S108" s="53">
        <v>771.93</v>
      </c>
      <c r="T108" s="53">
        <v>783.4</v>
      </c>
      <c r="U108" s="53">
        <v>9226.44</v>
      </c>
      <c r="V108" s="53">
        <v>23.0</v>
      </c>
      <c r="W108" s="53">
        <v>1136.8</v>
      </c>
      <c r="X108" s="53">
        <v>582.19</v>
      </c>
      <c r="Y108" s="53">
        <v>1695.73</v>
      </c>
      <c r="Z108" s="53">
        <v>2692.9</v>
      </c>
      <c r="AA108" s="53">
        <v>685.69</v>
      </c>
      <c r="AB108" s="52"/>
      <c r="AC108" s="53">
        <v>7053.41</v>
      </c>
      <c r="AD108" s="53">
        <v>60.74</v>
      </c>
      <c r="AE108" s="53">
        <v>1258.72</v>
      </c>
      <c r="AF108" s="53">
        <v>111.44</v>
      </c>
      <c r="AG108" s="53">
        <v>2251.94</v>
      </c>
      <c r="AH108" s="53">
        <v>8.24</v>
      </c>
      <c r="AI108" s="52"/>
      <c r="AJ108" s="53">
        <v>1461.35</v>
      </c>
      <c r="AK108" s="52"/>
      <c r="AL108" s="53">
        <f>B108+C108+D108+E108+F108+G108+H108+I108+J108+K108+L108+M108+N108+O108+P108+Q108+R108+S108+T108+U108+V108+W108+X108+Y108+Z108+AA108+AB108+AC108+AD108+AE108+AF108+AG108+AH108+AI108+AJ108+AK108</f>
        <v>45500.579999999994</v>
      </c>
    </row>
    <row r="109" spans="1:38" ht="16">
      <c r="A109" s="44" t="s">
        <v>106</v>
      </c>
      <c r="B109" s="55">
        <f>B104+B105+B106+B107+B108</f>
        <v>0.0</v>
      </c>
      <c r="C109" s="54">
        <f>C104+C105+C106+C107+C108</f>
        <v>53.43</v>
      </c>
      <c r="D109" s="54">
        <f>D104+D105+D106+D107+D108</f>
        <v>2336.24</v>
      </c>
      <c r="E109" s="54">
        <f>E104+E105+E106+E107+E108</f>
        <v>2231.54</v>
      </c>
      <c r="F109" s="55">
        <f>F104+F105+F106+F107+F108</f>
        <v>0.0</v>
      </c>
      <c r="G109" s="55">
        <f>G104+G105+G106+G107+G108</f>
        <v>0.0</v>
      </c>
      <c r="H109" s="54">
        <f>H104+H105+H106+H107+H108</f>
        <v>18.06</v>
      </c>
      <c r="I109" s="54">
        <f>I104+I105+I106+I107+I108</f>
        <v>2437.9500000000003</v>
      </c>
      <c r="J109" s="54">
        <f>J104+J105+J106+J107+J108</f>
        <v>4416.72</v>
      </c>
      <c r="K109" s="54">
        <f>K104+K105+K106+K107+K108</f>
        <v>372.4</v>
      </c>
      <c r="L109" s="54">
        <f>L104+L105+L106+L107+L108</f>
        <v>381.05</v>
      </c>
      <c r="M109" s="54">
        <f>M104+M105+M106+M107+M108</f>
        <v>318.55</v>
      </c>
      <c r="N109" s="54">
        <f>N104+N105+N106+N107+N108</f>
        <v>2281.31</v>
      </c>
      <c r="O109" s="54">
        <f>O104+O105+O106+O107+O108</f>
        <v>61.08</v>
      </c>
      <c r="P109" s="54">
        <f>P104+P105+P106+P107+P108</f>
        <v>10.77</v>
      </c>
      <c r="Q109" s="54">
        <f>Q104+Q105+Q106+Q107+Q108</f>
        <v>3983.1499999999996</v>
      </c>
      <c r="R109" s="54">
        <f>R104+R105+R106+R107+R108</f>
        <v>5938.76</v>
      </c>
      <c r="S109" s="54">
        <f>S104+S105+S106+S107+S108</f>
        <v>771.93</v>
      </c>
      <c r="T109" s="54">
        <f>T104+T105+T106+T107+T108</f>
        <v>783.4</v>
      </c>
      <c r="U109" s="54">
        <f>U104+U105+U106+U107+U108</f>
        <v>9226.44</v>
      </c>
      <c r="V109" s="54">
        <f>V104+V105+V106+V107+V108</f>
        <v>2562.9300000000003</v>
      </c>
      <c r="W109" s="54">
        <f>W104+W105+W106+W107+W108</f>
        <v>1136.8</v>
      </c>
      <c r="X109" s="54">
        <f>X104+X105+X106+X107+X108</f>
        <v>582.19</v>
      </c>
      <c r="Y109" s="54">
        <f>Y104+Y105+Y106+Y107+Y108</f>
        <v>1695.73</v>
      </c>
      <c r="Z109" s="54">
        <f>Z104+Z105+Z106+Z107+Z108</f>
        <v>2692.9</v>
      </c>
      <c r="AA109" s="54">
        <f>AA104+AA105+AA106+AA107+AA108</f>
        <v>3225.6200000000003</v>
      </c>
      <c r="AB109" s="54">
        <f>AB104+AB105+AB106+AB107+AB108</f>
        <v>2.21</v>
      </c>
      <c r="AC109" s="54">
        <f>AC104+AC105+AC106+AC107+AC108</f>
        <v>7053.41</v>
      </c>
      <c r="AD109" s="54">
        <f>AD104+AD105+AD106+AD107+AD108</f>
        <v>60.74</v>
      </c>
      <c r="AE109" s="54">
        <f>AE104+AE105+AE106+AE107+AE108</f>
        <v>2526.3199999999997</v>
      </c>
      <c r="AF109" s="54">
        <f>AF104+AF105+AF106+AF107+AF108</f>
        <v>111.44</v>
      </c>
      <c r="AG109" s="54">
        <f>AG104+AG105+AG106+AG107+AG108</f>
        <v>2251.94</v>
      </c>
      <c r="AH109" s="54">
        <f>AH104+AH105+AH106+AH107+AH108</f>
        <v>168.17000000000002</v>
      </c>
      <c r="AI109" s="54">
        <f>AI104+AI105+AI106+AI107+AI108</f>
        <v>1326.79</v>
      </c>
      <c r="AJ109" s="54">
        <f>AJ104+AJ105+AJ106+AJ107+AJ108</f>
        <v>1616.73</v>
      </c>
      <c r="AK109" s="55">
        <f>AK104+AK105+AK106+AK107+AK108</f>
        <v>0.0</v>
      </c>
      <c r="AL109" s="55">
        <f>B109+C109+D109+E109+F109+G109+H109+I109+J109+K109+L109+M109+N109+O109+P109+Q109+R109+S109+T109+U109+V109+W109+X109+Y109+Z109+AA109+AB109+AC109+AD109+AE109+AF109+AG109+AH109+AI109+AJ109+AK109</f>
        <v>62636.70000000001</v>
      </c>
    </row>
    <row r="110" spans="1:38" ht="16">
      <c r="A110" s="42" t="s">
        <v>107</v>
      </c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</row>
    <row r="111" spans="1:38" ht="16">
      <c r="A111" s="43" t="s">
        <v>108</v>
      </c>
      <c r="B111" s="52"/>
      <c r="C111" s="52"/>
      <c r="D111" s="53">
        <v>4542.3</v>
      </c>
      <c r="E111" s="53">
        <v>1246.12</v>
      </c>
      <c r="F111" s="53">
        <v>20.0</v>
      </c>
      <c r="G111" s="52"/>
      <c r="H111" s="52"/>
      <c r="I111" s="53">
        <v>1246.12</v>
      </c>
      <c r="J111" s="52"/>
      <c r="K111" s="52"/>
      <c r="L111" s="52"/>
      <c r="M111" s="53">
        <v>1246.12</v>
      </c>
      <c r="N111" s="52"/>
      <c r="O111" s="52"/>
      <c r="P111" s="52"/>
      <c r="Q111" s="52"/>
      <c r="R111" s="53">
        <v>1246.12</v>
      </c>
      <c r="S111" s="52"/>
      <c r="T111" s="52"/>
      <c r="U111" s="52"/>
      <c r="V111" s="53">
        <v>1282.7</v>
      </c>
      <c r="W111" s="52"/>
      <c r="X111" s="52"/>
      <c r="Y111" s="52"/>
      <c r="Z111" s="52"/>
      <c r="AA111" s="53">
        <v>1246.12</v>
      </c>
      <c r="AB111" s="52"/>
      <c r="AC111" s="52"/>
      <c r="AD111" s="52"/>
      <c r="AE111" s="53">
        <v>1246.12</v>
      </c>
      <c r="AF111" s="52"/>
      <c r="AG111" s="52"/>
      <c r="AH111" s="52"/>
      <c r="AI111" s="52"/>
      <c r="AJ111" s="52"/>
      <c r="AK111" s="52"/>
      <c r="AL111" s="53">
        <f>B111+C111+D111+E111+F111+G111+H111+I111+J111+K111+L111+M111+N111+O111+P111+Q111+R111+S111+T111+U111+V111+W111+X111+Y111+Z111+AA111+AB111+AC111+AD111+AE111+AF111+AG111+AH111+AI111+AJ111+AK111</f>
        <v>13321.719999999998</v>
      </c>
    </row>
    <row r="112" spans="1:38" ht="16">
      <c r="A112" s="43" t="s">
        <v>109</v>
      </c>
      <c r="B112" s="52"/>
      <c r="C112" s="52"/>
      <c r="D112" s="53">
        <v>5741.15</v>
      </c>
      <c r="E112" s="52"/>
      <c r="F112" s="52"/>
      <c r="G112" s="52"/>
      <c r="H112" s="52"/>
      <c r="I112" s="53">
        <v>206.15</v>
      </c>
      <c r="J112" s="52"/>
      <c r="K112" s="52"/>
      <c r="L112" s="52"/>
      <c r="M112" s="53">
        <v>1157.65</v>
      </c>
      <c r="N112" s="52"/>
      <c r="O112" s="52"/>
      <c r="P112" s="52"/>
      <c r="Q112" s="53">
        <v>1080.65</v>
      </c>
      <c r="R112" s="52"/>
      <c r="S112" s="52"/>
      <c r="T112" s="52"/>
      <c r="U112" s="53">
        <v>1080.65</v>
      </c>
      <c r="V112" s="52"/>
      <c r="W112" s="52"/>
      <c r="X112" s="52"/>
      <c r="Y112" s="52"/>
      <c r="Z112" s="53">
        <v>1080.65</v>
      </c>
      <c r="AA112" s="52"/>
      <c r="AB112" s="52"/>
      <c r="AC112" s="52"/>
      <c r="AD112" s="53">
        <v>1080.65</v>
      </c>
      <c r="AE112" s="52"/>
      <c r="AF112" s="52"/>
      <c r="AG112" s="52"/>
      <c r="AH112" s="52"/>
      <c r="AI112" s="53">
        <v>1080.65</v>
      </c>
      <c r="AJ112" s="52"/>
      <c r="AK112" s="52"/>
      <c r="AL112" s="53">
        <f>B112+C112+D112+E112+F112+G112+H112+I112+J112+K112+L112+M112+N112+O112+P112+Q112+R112+S112+T112+U112+V112+W112+X112+Y112+Z112+AA112+AB112+AC112+AD112+AE112+AF112+AG112+AH112+AI112+AJ112+AK112</f>
        <v>12508.199999999997</v>
      </c>
    </row>
    <row r="113" spans="1:38" ht="16">
      <c r="A113" s="44" t="s">
        <v>110</v>
      </c>
      <c r="B113" s="55">
        <f>B110+B111+B112</f>
        <v>0.0</v>
      </c>
      <c r="C113" s="55">
        <f>C110+C111+C112</f>
        <v>0.0</v>
      </c>
      <c r="D113" s="54">
        <f>D110+D111+D112</f>
        <v>10283.45</v>
      </c>
      <c r="E113" s="54">
        <f>E110+E111+E112</f>
        <v>1246.12</v>
      </c>
      <c r="F113" s="54">
        <f>F110+F111+F112</f>
        <v>20.0</v>
      </c>
      <c r="G113" s="55">
        <f>G110+G111+G112</f>
        <v>0.0</v>
      </c>
      <c r="H113" s="55">
        <f>H110+H111+H112</f>
        <v>0.0</v>
      </c>
      <c r="I113" s="54">
        <f>I110+I111+I112</f>
        <v>1452.27</v>
      </c>
      <c r="J113" s="55">
        <f>J110+J111+J112</f>
        <v>0.0</v>
      </c>
      <c r="K113" s="55">
        <f>K110+K111+K112</f>
        <v>0.0</v>
      </c>
      <c r="L113" s="55">
        <f>L110+L111+L112</f>
        <v>0.0</v>
      </c>
      <c r="M113" s="54">
        <f>M110+M111+M112</f>
        <v>2403.77</v>
      </c>
      <c r="N113" s="55">
        <f>N110+N111+N112</f>
        <v>0.0</v>
      </c>
      <c r="O113" s="55">
        <f>O110+O111+O112</f>
        <v>0.0</v>
      </c>
      <c r="P113" s="55">
        <f>P110+P111+P112</f>
        <v>0.0</v>
      </c>
      <c r="Q113" s="54">
        <f>Q110+Q111+Q112</f>
        <v>1080.65</v>
      </c>
      <c r="R113" s="54">
        <f>R110+R111+R112</f>
        <v>1246.12</v>
      </c>
      <c r="S113" s="55">
        <f>S110+S111+S112</f>
        <v>0.0</v>
      </c>
      <c r="T113" s="55">
        <f>T110+T111+T112</f>
        <v>0.0</v>
      </c>
      <c r="U113" s="54">
        <f>U110+U111+U112</f>
        <v>1080.65</v>
      </c>
      <c r="V113" s="54">
        <f>V110+V111+V112</f>
        <v>1282.7</v>
      </c>
      <c r="W113" s="55">
        <f>W110+W111+W112</f>
        <v>0.0</v>
      </c>
      <c r="X113" s="55">
        <f>X110+X111+X112</f>
        <v>0.0</v>
      </c>
      <c r="Y113" s="55">
        <f>Y110+Y111+Y112</f>
        <v>0.0</v>
      </c>
      <c r="Z113" s="54">
        <f>Z110+Z111+Z112</f>
        <v>1080.65</v>
      </c>
      <c r="AA113" s="54">
        <f>AA110+AA111+AA112</f>
        <v>1246.12</v>
      </c>
      <c r="AB113" s="55">
        <f>AB110+AB111+AB112</f>
        <v>0.0</v>
      </c>
      <c r="AC113" s="55">
        <f>AC110+AC111+AC112</f>
        <v>0.0</v>
      </c>
      <c r="AD113" s="54">
        <f>AD110+AD111+AD112</f>
        <v>1080.65</v>
      </c>
      <c r="AE113" s="54">
        <f>AE110+AE111+AE112</f>
        <v>1246.12</v>
      </c>
      <c r="AF113" s="55">
        <f>AF110+AF111+AF112</f>
        <v>0.0</v>
      </c>
      <c r="AG113" s="55">
        <f>AG110+AG111+AG112</f>
        <v>0.0</v>
      </c>
      <c r="AH113" s="55">
        <f>AH110+AH111+AH112</f>
        <v>0.0</v>
      </c>
      <c r="AI113" s="54">
        <f>AI110+AI111+AI112</f>
        <v>1080.65</v>
      </c>
      <c r="AJ113" s="55">
        <f>AJ110+AJ111+AJ112</f>
        <v>0.0</v>
      </c>
      <c r="AK113" s="55">
        <f>AK110+AK111+AK112</f>
        <v>0.0</v>
      </c>
      <c r="AL113" s="55">
        <f>B113+C113+D113+E113+F113+G113+H113+I113+J113+K113+L113+M113+N113+O113+P113+Q113+R113+S113+T113+U113+V113+W113+X113+Y113+Z113+AA113+AB113+AC113+AD113+AE113+AF113+AG113+AH113+AI113+AJ113+AK113</f>
        <v>25829.920000000006</v>
      </c>
    </row>
    <row r="114" spans="1:38" ht="16">
      <c r="A114" s="42" t="s">
        <v>111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</row>
    <row r="115" spans="1:38" ht="16">
      <c r="A115" s="43" t="s">
        <v>112</v>
      </c>
      <c r="B115" s="52"/>
      <c r="C115" s="52"/>
      <c r="D115" s="52"/>
      <c r="E115" s="53">
        <v>1623.58</v>
      </c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3">
        <v>51.45</v>
      </c>
      <c r="W115" s="52"/>
      <c r="X115" s="52"/>
      <c r="Y115" s="52"/>
      <c r="Z115" s="52"/>
      <c r="AA115" s="53">
        <v>50.0</v>
      </c>
      <c r="AB115" s="53">
        <v>35.7</v>
      </c>
      <c r="AC115" s="53">
        <v>24.0</v>
      </c>
      <c r="AD115" s="52"/>
      <c r="AE115" s="52"/>
      <c r="AF115" s="53">
        <v>76.24</v>
      </c>
      <c r="AG115" s="52"/>
      <c r="AH115" s="52"/>
      <c r="AI115" s="52"/>
      <c r="AJ115" s="52"/>
      <c r="AK115" s="52"/>
      <c r="AL115" s="53">
        <f>B115+C115+D115+E115+F115+G115+H115+I115+J115+K115+L115+M115+N115+O115+P115+Q115+R115+S115+T115+U115+V115+W115+X115+Y115+Z115+AA115+AB115+AC115+AD115+AE115+AF115+AG115+AH115+AI115+AJ115+AK115</f>
        <v>1860.97</v>
      </c>
    </row>
    <row r="116" spans="1:38" ht="16">
      <c r="A116" s="43" t="s">
        <v>113</v>
      </c>
      <c r="B116" s="52"/>
      <c r="C116" s="52"/>
      <c r="D116" s="53">
        <v>1515.24</v>
      </c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3">
        <f>B116+C116+D116+E116+F116+G116+H116+I116+J116+K116+L116+M116+N116+O116+P116+Q116+R116+S116+T116+U116+V116+W116+X116+Y116+Z116+AA116+AB116+AC116+AD116+AE116+AF116+AG116+AH116+AI116+AJ116+AK116</f>
        <v>1515.24</v>
      </c>
    </row>
    <row r="117" spans="1:38" ht="16">
      <c r="A117" s="44" t="s">
        <v>114</v>
      </c>
      <c r="B117" s="55">
        <f>B114+B115+B116</f>
        <v>0.0</v>
      </c>
      <c r="C117" s="55">
        <f>C114+C115+C116</f>
        <v>0.0</v>
      </c>
      <c r="D117" s="54">
        <f>D114+D115+D116</f>
        <v>1515.24</v>
      </c>
      <c r="E117" s="54">
        <f>E114+E115+E116</f>
        <v>1623.58</v>
      </c>
      <c r="F117" s="55">
        <f>F114+F115+F116</f>
        <v>0.0</v>
      </c>
      <c r="G117" s="55">
        <f>G114+G115+G116</f>
        <v>0.0</v>
      </c>
      <c r="H117" s="55">
        <f>H114+H115+H116</f>
        <v>0.0</v>
      </c>
      <c r="I117" s="55">
        <f>I114+I115+I116</f>
        <v>0.0</v>
      </c>
      <c r="J117" s="55">
        <f>J114+J115+J116</f>
        <v>0.0</v>
      </c>
      <c r="K117" s="55">
        <f>K114+K115+K116</f>
        <v>0.0</v>
      </c>
      <c r="L117" s="55">
        <f>L114+L115+L116</f>
        <v>0.0</v>
      </c>
      <c r="M117" s="55">
        <f>M114+M115+M116</f>
        <v>0.0</v>
      </c>
      <c r="N117" s="55">
        <f>N114+N115+N116</f>
        <v>0.0</v>
      </c>
      <c r="O117" s="55">
        <f>O114+O115+O116</f>
        <v>0.0</v>
      </c>
      <c r="P117" s="55">
        <f>P114+P115+P116</f>
        <v>0.0</v>
      </c>
      <c r="Q117" s="55">
        <f>Q114+Q115+Q116</f>
        <v>0.0</v>
      </c>
      <c r="R117" s="55">
        <f>R114+R115+R116</f>
        <v>0.0</v>
      </c>
      <c r="S117" s="55">
        <f>S114+S115+S116</f>
        <v>0.0</v>
      </c>
      <c r="T117" s="55">
        <f>T114+T115+T116</f>
        <v>0.0</v>
      </c>
      <c r="U117" s="55">
        <f>U114+U115+U116</f>
        <v>0.0</v>
      </c>
      <c r="V117" s="54">
        <f>V114+V115+V116</f>
        <v>51.45</v>
      </c>
      <c r="W117" s="55">
        <f>W114+W115+W116</f>
        <v>0.0</v>
      </c>
      <c r="X117" s="55">
        <f>X114+X115+X116</f>
        <v>0.0</v>
      </c>
      <c r="Y117" s="55">
        <f>Y114+Y115+Y116</f>
        <v>0.0</v>
      </c>
      <c r="Z117" s="55">
        <f>Z114+Z115+Z116</f>
        <v>0.0</v>
      </c>
      <c r="AA117" s="54">
        <f>AA114+AA115+AA116</f>
        <v>50.0</v>
      </c>
      <c r="AB117" s="54">
        <f>AB114+AB115+AB116</f>
        <v>35.7</v>
      </c>
      <c r="AC117" s="54">
        <f>AC114+AC115+AC116</f>
        <v>24.0</v>
      </c>
      <c r="AD117" s="55">
        <f>AD114+AD115+AD116</f>
        <v>0.0</v>
      </c>
      <c r="AE117" s="55">
        <f>AE114+AE115+AE116</f>
        <v>0.0</v>
      </c>
      <c r="AF117" s="54">
        <f>AF114+AF115+AF116</f>
        <v>76.24</v>
      </c>
      <c r="AG117" s="55">
        <f>AG114+AG115+AG116</f>
        <v>0.0</v>
      </c>
      <c r="AH117" s="55">
        <f>AH114+AH115+AH116</f>
        <v>0.0</v>
      </c>
      <c r="AI117" s="55">
        <f>AI114+AI115+AI116</f>
        <v>0.0</v>
      </c>
      <c r="AJ117" s="55">
        <f>AJ114+AJ115+AJ116</f>
        <v>0.0</v>
      </c>
      <c r="AK117" s="55">
        <f>AK114+AK115+AK116</f>
        <v>0.0</v>
      </c>
      <c r="AL117" s="55">
        <f>B117+C117+D117+E117+F117+G117+H117+I117+J117+K117+L117+M117+N117+O117+P117+Q117+R117+S117+T117+U117+V117+W117+X117+Y117+Z117+AA117+AB117+AC117+AD117+AE117+AF117+AG117+AH117+AI117+AJ117+AK117</f>
        <v>3376.209999999999</v>
      </c>
    </row>
    <row r="118" spans="1:38" ht="16">
      <c r="A118" s="42" t="s">
        <v>115</v>
      </c>
      <c r="B118" s="52"/>
      <c r="C118" s="53">
        <v>19.99</v>
      </c>
      <c r="D118" s="52"/>
      <c r="E118" s="52"/>
      <c r="F118" s="52"/>
      <c r="G118" s="53">
        <v>19.99</v>
      </c>
      <c r="H118" s="52"/>
      <c r="I118" s="52"/>
      <c r="J118" s="53">
        <v>19.99</v>
      </c>
      <c r="K118" s="53">
        <v>89.96</v>
      </c>
      <c r="L118" s="52"/>
      <c r="M118" s="53">
        <v>19.99</v>
      </c>
      <c r="N118" s="52"/>
      <c r="O118" s="53">
        <v>19.99</v>
      </c>
      <c r="P118" s="52"/>
      <c r="Q118" s="52"/>
      <c r="R118" s="52"/>
      <c r="S118" s="52"/>
      <c r="T118" s="53">
        <v>19.99</v>
      </c>
      <c r="U118" s="52"/>
      <c r="V118" s="52"/>
      <c r="W118" s="52"/>
      <c r="X118" s="52"/>
      <c r="Y118" s="53">
        <v>19.99</v>
      </c>
      <c r="Z118" s="52"/>
      <c r="AA118" s="52"/>
      <c r="AB118" s="53">
        <v>19.99</v>
      </c>
      <c r="AC118" s="52"/>
      <c r="AD118" s="52"/>
      <c r="AE118" s="52"/>
      <c r="AF118" s="52"/>
      <c r="AG118" s="53">
        <v>19.99</v>
      </c>
      <c r="AH118" s="52"/>
      <c r="AI118" s="52"/>
      <c r="AJ118" s="52"/>
      <c r="AK118" s="52"/>
      <c r="AL118" s="53">
        <f>B118+C118+D118+E118+F118+G118+H118+I118+J118+K118+L118+M118+N118+O118+P118+Q118+R118+S118+T118+U118+V118+W118+X118+Y118+Z118+AA118+AB118+AC118+AD118+AE118+AF118+AG118+AH118+AI118+AJ118+AK118</f>
        <v>269.87000000000006</v>
      </c>
    </row>
    <row r="119" spans="1:38" ht="16">
      <c r="A119" s="42" t="s">
        <v>116</v>
      </c>
      <c r="B119" s="52"/>
      <c r="C119" s="53">
        <v>73.8</v>
      </c>
      <c r="D119" s="52"/>
      <c r="E119" s="52"/>
      <c r="F119" s="52"/>
      <c r="G119" s="52"/>
      <c r="H119" s="52"/>
      <c r="I119" s="53">
        <v>-154.76</v>
      </c>
      <c r="J119" s="53">
        <v>97.17</v>
      </c>
      <c r="K119" s="52"/>
      <c r="L119" s="53">
        <v>1.08</v>
      </c>
      <c r="M119" s="52"/>
      <c r="N119" s="52"/>
      <c r="O119" s="52"/>
      <c r="P119" s="52"/>
      <c r="Q119" s="52"/>
      <c r="R119" s="52"/>
      <c r="S119" s="52"/>
      <c r="T119" s="53">
        <v>3585.0</v>
      </c>
      <c r="U119" s="52"/>
      <c r="V119" s="53">
        <v>5312.9</v>
      </c>
      <c r="W119" s="52"/>
      <c r="X119" s="52"/>
      <c r="Y119" s="52"/>
      <c r="Z119" s="53">
        <v>57.61</v>
      </c>
      <c r="AA119" s="52"/>
      <c r="AB119" s="52"/>
      <c r="AC119" s="52"/>
      <c r="AD119" s="53">
        <v>87.51</v>
      </c>
      <c r="AE119" s="52"/>
      <c r="AF119" s="52"/>
      <c r="AG119" s="52"/>
      <c r="AH119" s="52"/>
      <c r="AI119" s="52"/>
      <c r="AJ119" s="52"/>
      <c r="AK119" s="52"/>
      <c r="AL119" s="53">
        <f>B119+C119+D119+E119+F119+G119+H119+I119+J119+K119+L119+M119+N119+O119+P119+Q119+R119+S119+T119+U119+V119+W119+X119+Y119+Z119+AA119+AB119+AC119+AD119+AE119+AF119+AG119+AH119+AI119+AJ119+AK119</f>
        <v>9060.31</v>
      </c>
    </row>
    <row r="120" spans="1:38" ht="16">
      <c r="A120" s="47" t="s">
        <v>117</v>
      </c>
      <c r="B120" s="54">
        <f>B74+B77+B80+B81+B82+B86+B95+B96+B103+B109+B113+B117+B118+B119</f>
        <v>2691.6</v>
      </c>
      <c r="C120" s="54">
        <f>C74+C77+C80+C81+C82+C86+C95+C96+C103+C109+C113+C117+C118+C119</f>
        <v>4787.08</v>
      </c>
      <c r="D120" s="54">
        <f>D74+D77+D80+D81+D82+D86+D95+D96+D103+D109+D113+D117+D118+D119</f>
        <v>17333.43</v>
      </c>
      <c r="E120" s="54">
        <f>E74+E77+E80+E81+E82+E86+E95+E96+E103+E109+E113+E117+E118+E119</f>
        <v>7046.82</v>
      </c>
      <c r="F120" s="54">
        <f>F74+F77+F80+F81+F82+F86+F95+F96+F103+F109+F113+F117+F118+F119</f>
        <v>2617.89</v>
      </c>
      <c r="G120" s="54">
        <f>G74+G77+G80+G81+G82+G86+G95+G96+G103+G109+G113+G117+G118+G119</f>
        <v>7584.25</v>
      </c>
      <c r="H120" s="54">
        <f>H74+H77+H80+H81+H82+H86+H95+H96+H103+H109+H113+H117+H118+H119</f>
        <v>1440.7199999999998</v>
      </c>
      <c r="I120" s="54">
        <f>I74+I77+I80+I81+I82+I86+I95+I96+I103+I109+I113+I117+I118+I119</f>
        <v>6875.16</v>
      </c>
      <c r="J120" s="54">
        <f>J74+J77+J80+J81+J82+J86+J95+J96+J103+J109+J113+J117+J118+J119</f>
        <v>6137.3</v>
      </c>
      <c r="K120" s="54">
        <f>K74+K77+K80+K81+K82+K86+K95+K96+K103+K109+K113+K117+K118+K119</f>
        <v>7129.400000000001</v>
      </c>
      <c r="L120" s="54">
        <f>L74+L77+L80+L81+L82+L86+L95+L96+L103+L109+L113+L117+L118+L119</f>
        <v>3375.11</v>
      </c>
      <c r="M120" s="54">
        <f>M74+M77+M80+M81+M82+M86+M95+M96+M103+M109+M113+M117+M118+M119</f>
        <v>5642.87</v>
      </c>
      <c r="N120" s="54">
        <f>N74+N77+N80+N81+N82+N86+N95+N96+N103+N109+N113+N117+N118+N119</f>
        <v>3288.05</v>
      </c>
      <c r="O120" s="54">
        <f>O74+O77+O80+O81+O82+O86+O95+O96+O103+O109+O113+O117+O118+O119</f>
        <v>9321.23</v>
      </c>
      <c r="P120" s="54">
        <f>P74+P77+P80+P81+P82+P86+P95+P96+P103+P109+P113+P117+P118+P119</f>
        <v>3940.12</v>
      </c>
      <c r="Q120" s="54">
        <f>Q74+Q77+Q80+Q81+Q82+Q86+Q95+Q96+Q103+Q109+Q113+Q117+Q118+Q119</f>
        <v>8863.11</v>
      </c>
      <c r="R120" s="54">
        <f>R74+R77+R80+R81+R82+R86+R95+R96+R103+R109+R113+R117+R118+R119</f>
        <v>8553.279999999999</v>
      </c>
      <c r="S120" s="54">
        <f>S74+S77+S80+S81+S82+S86+S95+S96+S103+S109+S113+S117+S118+S119</f>
        <v>6782.36</v>
      </c>
      <c r="T120" s="54">
        <f>T74+T77+T80+T81+T82+T86+T95+T96+T103+T109+T113+T117+T118+T119</f>
        <v>8422.98</v>
      </c>
      <c r="U120" s="54">
        <f>U74+U77+U80+U81+U82+U86+U95+U96+U103+U109+U113+U117+U118+U119</f>
        <v>12653.13</v>
      </c>
      <c r="V120" s="54">
        <f>V74+V77+V80+V81+V82+V86+V95+V96+V103+V109+V113+V117+V118+V119</f>
        <v>11106.04</v>
      </c>
      <c r="W120" s="54">
        <f>W74+W77+W80+W81+W82+W86+W95+W96+W103+W109+W113+W117+W118+W119</f>
        <v>3111.34</v>
      </c>
      <c r="X120" s="54">
        <f>X74+X77+X80+X81+X82+X86+X95+X96+X103+X109+X113+X117+X118+X119</f>
        <v>5135.65</v>
      </c>
      <c r="Y120" s="54">
        <f>Y74+Y77+Y80+Y81+Y82+Y86+Y95+Y96+Y103+Y109+Y113+Y117+Y118+Y119</f>
        <v>9807.49</v>
      </c>
      <c r="Z120" s="54">
        <f>Z74+Z77+Z80+Z81+Z82+Z86+Z95+Z96+Z103+Z109+Z113+Z117+Z118+Z119</f>
        <v>5927.909999999999</v>
      </c>
      <c r="AA120" s="54">
        <f>AA74+AA77+AA80+AA81+AA82+AA86+AA95+AA96+AA103+AA109+AA113+AA117+AA118+AA119</f>
        <v>7171.919999999999</v>
      </c>
      <c r="AB120" s="54">
        <f>AB74+AB77+AB80+AB81+AB82+AB86+AB95+AB96+AB103+AB109+AB113+AB117+AB118+AB119</f>
        <v>7785.619999999999</v>
      </c>
      <c r="AC120" s="54">
        <f>AC74+AC77+AC80+AC81+AC82+AC86+AC95+AC96+AC103+AC109+AC113+AC117+AC118+AC119</f>
        <v>9350.189999999999</v>
      </c>
      <c r="AD120" s="54">
        <f>AD74+AD77+AD80+AD81+AD82+AD86+AD95+AD96+AD103+AD109+AD113+AD117+AD118+AD119</f>
        <v>4624.700000000001</v>
      </c>
      <c r="AE120" s="54">
        <f>AE74+AE77+AE80+AE81+AE82+AE86+AE95+AE96+AE103+AE109+AE113+AE117+AE118+AE119</f>
        <v>5405.95</v>
      </c>
      <c r="AF120" s="54">
        <f>AF74+AF77+AF80+AF81+AF82+AF86+AF95+AF96+AF103+AF109+AF113+AF117+AF118+AF119</f>
        <v>6261.469999999999</v>
      </c>
      <c r="AG120" s="54">
        <f>AG74+AG77+AG80+AG81+AG82+AG86+AG95+AG96+AG103+AG109+AG113+AG117+AG118+AG119</f>
        <v>6813.869999999999</v>
      </c>
      <c r="AH120" s="54">
        <f>AH74+AH77+AH80+AH81+AH82+AH86+AH95+AH96+AH103+AH109+AH113+AH117+AH118+AH119</f>
        <v>4109.91</v>
      </c>
      <c r="AI120" s="54">
        <f>AI74+AI77+AI80+AI81+AI82+AI86+AI95+AI96+AI103+AI109+AI113+AI117+AI118+AI119</f>
        <v>5844.67</v>
      </c>
      <c r="AJ120" s="54">
        <f>AJ74+AJ77+AJ80+AJ81+AJ82+AJ86+AJ95+AJ96+AJ103+AJ109+AJ113+AJ117+AJ118+AJ119</f>
        <v>2823.46</v>
      </c>
      <c r="AK120" s="54">
        <f>AK74+AK77+AK80+AK81+AK82+AK86+AK95+AK96+AK103+AK109+AK113+AK117+AK118+AK119</f>
        <v>893.8199999999999</v>
      </c>
      <c r="AL120" s="55">
        <f>B120+C120+D120+E120+F120+G120+H120+I120+J120+K120+L120+M120+N120+O120+P120+Q120+R120+S120+T120+U120+V120+W120+X120+Y120+Z120+AA120+AB120+AC120+AD120+AE120+AF120+AG120+AH120+AI120+AJ120+AK120</f>
        <v>230659.90000000002</v>
      </c>
    </row>
    <row r="121" spans="1:38" ht="16">
      <c r="A121" s="48" t="s">
        <v>118</v>
      </c>
      <c r="B121" s="54">
        <f>B66+B73+B120</f>
        <v>3153.25</v>
      </c>
      <c r="C121" s="54">
        <f>C66+C73+C120</f>
        <v>4787.08</v>
      </c>
      <c r="D121" s="54">
        <f>D66+D73+D120</f>
        <v>18920.83</v>
      </c>
      <c r="E121" s="54">
        <f>E66+E73+E120</f>
        <v>7171.82</v>
      </c>
      <c r="F121" s="54">
        <f>F66+F73+F120</f>
        <v>3116.49</v>
      </c>
      <c r="G121" s="54">
        <f>G66+G73+G120</f>
        <v>7584.25</v>
      </c>
      <c r="H121" s="54">
        <f>H66+H73+H120</f>
        <v>1440.7199999999998</v>
      </c>
      <c r="I121" s="54">
        <f>I66+I73+I120</f>
        <v>8402.36</v>
      </c>
      <c r="J121" s="54">
        <f>J66+J73+J120</f>
        <v>6262.3</v>
      </c>
      <c r="K121" s="54">
        <f>K66+K73+K120</f>
        <v>7574.030000000001</v>
      </c>
      <c r="L121" s="54">
        <f>L66+L73+L120</f>
        <v>3375.11</v>
      </c>
      <c r="M121" s="54">
        <f>M66+M73+M120</f>
        <v>6167.62</v>
      </c>
      <c r="N121" s="54">
        <f>N66+N73+N120</f>
        <v>3413.05</v>
      </c>
      <c r="O121" s="54">
        <f>O66+O73+O120</f>
        <v>9788.05</v>
      </c>
      <c r="P121" s="54">
        <f>P66+P73+P120</f>
        <v>3940.12</v>
      </c>
      <c r="Q121" s="54">
        <f>Q66+Q73+Q120</f>
        <v>10475.26</v>
      </c>
      <c r="R121" s="54">
        <f>R66+R73+R120</f>
        <v>8898.48</v>
      </c>
      <c r="S121" s="54">
        <f>S66+S73+S120</f>
        <v>7442.69</v>
      </c>
      <c r="T121" s="54">
        <f>T66+T73+T120</f>
        <v>9297.98</v>
      </c>
      <c r="U121" s="54">
        <f>U66+U73+U120</f>
        <v>13702.88</v>
      </c>
      <c r="V121" s="54">
        <f>V66+V73+V120</f>
        <v>11631.04</v>
      </c>
      <c r="W121" s="54">
        <f>W66+W73+W120</f>
        <v>3236.34</v>
      </c>
      <c r="X121" s="54">
        <f>X66+X73+X120</f>
        <v>5618.79</v>
      </c>
      <c r="Y121" s="54">
        <f>Y66+Y73+Y120</f>
        <v>9807.49</v>
      </c>
      <c r="Z121" s="54">
        <f>Z66+Z73+Z120</f>
        <v>6427.909999999999</v>
      </c>
      <c r="AA121" s="54">
        <f>AA66+AA73+AA120</f>
        <v>7541.119999999999</v>
      </c>
      <c r="AB121" s="54">
        <f>AB66+AB73+AB120</f>
        <v>8223.529999999999</v>
      </c>
      <c r="AC121" s="54">
        <f>AC66+AC73+AC120</f>
        <v>9526.14</v>
      </c>
      <c r="AD121" s="54">
        <f>AD66+AD73+AD120</f>
        <v>5124.700000000001</v>
      </c>
      <c r="AE121" s="54">
        <f>AE66+AE73+AE120</f>
        <v>5530.95</v>
      </c>
      <c r="AF121" s="54">
        <f>AF66+AF73+AF120</f>
        <v>6718.2699999999995</v>
      </c>
      <c r="AG121" s="54">
        <f>AG66+AG73+AG120</f>
        <v>6813.869999999999</v>
      </c>
      <c r="AH121" s="54">
        <f>AH66+AH73+AH120</f>
        <v>4109.91</v>
      </c>
      <c r="AI121" s="54">
        <f>AI66+AI73+AI120</f>
        <v>6344.67</v>
      </c>
      <c r="AJ121" s="54">
        <f>AJ66+AJ73+AJ120</f>
        <v>2823.46</v>
      </c>
      <c r="AK121" s="54">
        <f>AK66+AK73+AK120</f>
        <v>893.8199999999999</v>
      </c>
      <c r="AL121" s="55">
        <f>B121+C121+D121+E121+F121+G121+H121+I121+J121+K121+L121+M121+N121+O121+P121+Q121+R121+S121+T121+U121+V121+W121+X121+Y121+Z121+AA121+AB121+AC121+AD121+AE121+AF121+AG121+AH121+AI121+AJ121+AK121</f>
        <v>245286.38</v>
      </c>
    </row>
    <row r="122" spans="1:38" ht="16">
      <c r="A122" s="48" t="s">
        <v>119</v>
      </c>
      <c r="B122" s="54">
        <f>B65-B121</f>
        <v>4352.790000000001</v>
      </c>
      <c r="C122" s="54">
        <f>C65-C121</f>
        <v>11087.65</v>
      </c>
      <c r="D122" s="54">
        <f>D65-D121</f>
        <v>-4139.360000000001</v>
      </c>
      <c r="E122" s="54">
        <f>E65-E121</f>
        <v>21706.559999999998</v>
      </c>
      <c r="F122" s="54">
        <f>F65-F121</f>
        <v>-8122.849999999997</v>
      </c>
      <c r="G122" s="54">
        <f>G65-G121</f>
        <v>23641.459999999995</v>
      </c>
      <c r="H122" s="54">
        <f>H65-H121</f>
        <v>1553.8999999999992</v>
      </c>
      <c r="I122" s="54">
        <f>I65-I121</f>
        <v>13751.439999999999</v>
      </c>
      <c r="J122" s="54">
        <f>J65-J121</f>
        <v>-2616.62</v>
      </c>
      <c r="K122" s="54">
        <f>K65-K121</f>
        <v>26160.729999999996</v>
      </c>
      <c r="L122" s="54">
        <f>L65-L121</f>
        <v>-4809.340000000004</v>
      </c>
      <c r="M122" s="54">
        <f>M65-M121</f>
        <v>15921.11</v>
      </c>
      <c r="N122" s="54">
        <f>N65-N121</f>
        <v>-7599.830000000003</v>
      </c>
      <c r="O122" s="54">
        <f>O65-O121</f>
        <v>7305.210000000003</v>
      </c>
      <c r="P122" s="54">
        <f>P65-P121</f>
        <v>1221.0700000000024</v>
      </c>
      <c r="Q122" s="54">
        <f>Q65-Q121</f>
        <v>6425.159999999998</v>
      </c>
      <c r="R122" s="54">
        <f>R65-R121</f>
        <v>-10956.339999999997</v>
      </c>
      <c r="S122" s="54">
        <f>S65-S121</f>
        <v>17045.27</v>
      </c>
      <c r="T122" s="54">
        <f>T65-T121</f>
        <v>-11552.710000000003</v>
      </c>
      <c r="U122" s="54">
        <f>U65-U121</f>
        <v>7011.230000000001</v>
      </c>
      <c r="V122" s="54">
        <f>V65-V121</f>
        <v>-7702.769999999997</v>
      </c>
      <c r="W122" s="54">
        <f>W65-W121</f>
        <v>26613.48</v>
      </c>
      <c r="X122" s="54">
        <f>X65-X121</f>
        <v>-11485.420000000006</v>
      </c>
      <c r="Y122" s="54">
        <f>Y65-Y121</f>
        <v>21197.46</v>
      </c>
      <c r="Z122" s="54">
        <f>Z65-Z121</f>
        <v>7091.399999999995</v>
      </c>
      <c r="AA122" s="54">
        <f>AA65-AA121</f>
        <v>16827.2</v>
      </c>
      <c r="AB122" s="54">
        <f>AB65-AB121</f>
        <v>2882.8199999999997</v>
      </c>
      <c r="AC122" s="54">
        <f>AC65-AC121</f>
        <v>11947.349999999999</v>
      </c>
      <c r="AD122" s="54">
        <f>AD65-AD121</f>
        <v>-8806.09</v>
      </c>
      <c r="AE122" s="54">
        <f>AE65-AE121</f>
        <v>16302.400000000001</v>
      </c>
      <c r="AF122" s="54">
        <f>AF65-AF121</f>
        <v>-22095.39</v>
      </c>
      <c r="AG122" s="54">
        <f>AG65-AG121</f>
        <v>22173.54</v>
      </c>
      <c r="AH122" s="54">
        <f>AH65-AH121</f>
        <v>-921.6000000000022</v>
      </c>
      <c r="AI122" s="54">
        <f>AI65-AI121</f>
        <v>24925.0</v>
      </c>
      <c r="AJ122" s="54">
        <f>AJ65-AJ121</f>
        <v>-7243.310000000006</v>
      </c>
      <c r="AK122" s="54">
        <f>AK65-AK121</f>
        <v>9509.09</v>
      </c>
      <c r="AL122" s="55">
        <f>B122+C122+D122+E122+F122+G122+H122+I122+J122+K122+L122+M122+N122+O122+P122+Q122+R122+S122+T122+U122+V122+W122+X122+Y122+Z122+AA122+AB122+AC122+AD122+AE122+AF122+AG122+AH122+AI122+AJ122+AK122</f>
        <v>208601.69000000003</v>
      </c>
    </row>
    <row r="123" spans="1:37" ht="16">
      <c r="A123" s="40" t="s">
        <v>120</v>
      </c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</row>
    <row r="124" spans="1:38" ht="16">
      <c r="A124" s="41" t="s">
        <v>121</v>
      </c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</row>
    <row r="125" spans="1:38" ht="16">
      <c r="A125" s="42" t="s">
        <v>122</v>
      </c>
      <c r="B125" s="53">
        <v>27.59</v>
      </c>
      <c r="C125" s="52"/>
      <c r="D125" s="52"/>
      <c r="E125" s="52"/>
      <c r="F125" s="52"/>
      <c r="G125" s="53">
        <v>14.9</v>
      </c>
      <c r="H125" s="52"/>
      <c r="I125" s="52"/>
      <c r="J125" s="53">
        <v>15.02</v>
      </c>
      <c r="K125" s="52"/>
      <c r="L125" s="52"/>
      <c r="M125" s="52"/>
      <c r="N125" s="52"/>
      <c r="O125" s="53">
        <v>16.98</v>
      </c>
      <c r="P125" s="52"/>
      <c r="Q125" s="52"/>
      <c r="R125" s="52"/>
      <c r="S125" s="53">
        <v>17.14</v>
      </c>
      <c r="T125" s="52"/>
      <c r="U125" s="52"/>
      <c r="V125" s="52"/>
      <c r="W125" s="52"/>
      <c r="X125" s="53">
        <v>12.38</v>
      </c>
      <c r="Y125" s="52"/>
      <c r="Z125" s="52"/>
      <c r="AA125" s="52"/>
      <c r="AB125" s="53">
        <v>6.64</v>
      </c>
      <c r="AC125" s="52"/>
      <c r="AD125" s="52"/>
      <c r="AE125" s="52"/>
      <c r="AF125" s="53">
        <v>7.48</v>
      </c>
      <c r="AG125" s="52"/>
      <c r="AH125" s="52"/>
      <c r="AI125" s="52"/>
      <c r="AJ125" s="52"/>
      <c r="AK125" s="52"/>
      <c r="AL125" s="53">
        <f>B125+C125+D125+E125+F125+G125+H125+I125+J125+K125+L125+M125+N125+O125+P125+Q125+R125+S125+T125+U125+V125+W125+X125+Y125+Z125+AA125+AB125+AC125+AD125+AE125+AF125+AG125+AH125+AI125+AJ125+AK125</f>
        <v>118.13000000000001</v>
      </c>
    </row>
    <row r="126" spans="1:38" ht="16">
      <c r="A126" s="42" t="s">
        <v>123</v>
      </c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3">
        <v>11613.05</v>
      </c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3">
        <f>B126+C126+D126+E126+F126+G126+H126+I126+J126+K126+L126+M126+N126+O126+P126+Q126+R126+S126+T126+U126+V126+W126+X126+Y126+Z126+AA126+AB126+AC126+AD126+AE126+AF126+AG126+AH126+AI126+AJ126+AK126</f>
        <v>11613.05</v>
      </c>
    </row>
    <row r="127" spans="1:38" ht="16">
      <c r="A127" s="47" t="s">
        <v>124</v>
      </c>
      <c r="B127" s="54">
        <f>B124+B125+B126</f>
        <v>27.59</v>
      </c>
      <c r="C127" s="55">
        <f>C124+C125+C126</f>
        <v>0.0</v>
      </c>
      <c r="D127" s="55">
        <f>D124+D125+D126</f>
        <v>0.0</v>
      </c>
      <c r="E127" s="55">
        <f>E124+E125+E126</f>
        <v>0.0</v>
      </c>
      <c r="F127" s="55">
        <f>F124+F125+F126</f>
        <v>0.0</v>
      </c>
      <c r="G127" s="54">
        <f>G124+G125+G126</f>
        <v>14.9</v>
      </c>
      <c r="H127" s="55">
        <f>H124+H125+H126</f>
        <v>0.0</v>
      </c>
      <c r="I127" s="55">
        <f>I124+I125+I126</f>
        <v>0.0</v>
      </c>
      <c r="J127" s="54">
        <f>J124+J125+J126</f>
        <v>15.02</v>
      </c>
      <c r="K127" s="55">
        <f>K124+K125+K126</f>
        <v>0.0</v>
      </c>
      <c r="L127" s="55">
        <f>L124+L125+L126</f>
        <v>0.0</v>
      </c>
      <c r="M127" s="55">
        <f>M124+M125+M126</f>
        <v>0.0</v>
      </c>
      <c r="N127" s="55">
        <f>N124+N125+N126</f>
        <v>0.0</v>
      </c>
      <c r="O127" s="54">
        <f>O124+O125+O126</f>
        <v>16.98</v>
      </c>
      <c r="P127" s="55">
        <f>P124+P125+P126</f>
        <v>0.0</v>
      </c>
      <c r="Q127" s="54">
        <f>Q124+Q125+Q126</f>
        <v>11613.05</v>
      </c>
      <c r="R127" s="55">
        <f>R124+R125+R126</f>
        <v>0.0</v>
      </c>
      <c r="S127" s="54">
        <f>S124+S125+S126</f>
        <v>17.14</v>
      </c>
      <c r="T127" s="55">
        <f>T124+T125+T126</f>
        <v>0.0</v>
      </c>
      <c r="U127" s="55">
        <f>U124+U125+U126</f>
        <v>0.0</v>
      </c>
      <c r="V127" s="55">
        <f>V124+V125+V126</f>
        <v>0.0</v>
      </c>
      <c r="W127" s="55">
        <f>W124+W125+W126</f>
        <v>0.0</v>
      </c>
      <c r="X127" s="54">
        <f>X124+X125+X126</f>
        <v>12.38</v>
      </c>
      <c r="Y127" s="55">
        <f>Y124+Y125+Y126</f>
        <v>0.0</v>
      </c>
      <c r="Z127" s="55">
        <f>Z124+Z125+Z126</f>
        <v>0.0</v>
      </c>
      <c r="AA127" s="55">
        <f>AA124+AA125+AA126</f>
        <v>0.0</v>
      </c>
      <c r="AB127" s="54">
        <f>AB124+AB125+AB126</f>
        <v>6.64</v>
      </c>
      <c r="AC127" s="55">
        <f>AC124+AC125+AC126</f>
        <v>0.0</v>
      </c>
      <c r="AD127" s="55">
        <f>AD124+AD125+AD126</f>
        <v>0.0</v>
      </c>
      <c r="AE127" s="55">
        <f>AE124+AE125+AE126</f>
        <v>0.0</v>
      </c>
      <c r="AF127" s="54">
        <f>AF124+AF125+AF126</f>
        <v>7.48</v>
      </c>
      <c r="AG127" s="55">
        <f>AG124+AG125+AG126</f>
        <v>0.0</v>
      </c>
      <c r="AH127" s="55">
        <f>AH124+AH125+AH126</f>
        <v>0.0</v>
      </c>
      <c r="AI127" s="55">
        <f>AI124+AI125+AI126</f>
        <v>0.0</v>
      </c>
      <c r="AJ127" s="55">
        <f>AJ124+AJ125+AJ126</f>
        <v>0.0</v>
      </c>
      <c r="AK127" s="55">
        <f>AK124+AK125+AK126</f>
        <v>0.0</v>
      </c>
      <c r="AL127" s="55">
        <f>B127+C127+D127+E127+F127+G127+H127+I127+J127+K127+L127+M127+N127+O127+P127+Q127+R127+S127+T127+U127+V127+W127+X127+Y127+Z127+AA127+AB127+AC127+AD127+AE127+AF127+AG127+AH127+AI127+AJ127+AK127</f>
        <v>11731.179999999997</v>
      </c>
    </row>
    <row r="128" spans="1:38" ht="16">
      <c r="A128" s="48" t="s">
        <v>125</v>
      </c>
      <c r="B128" s="54">
        <f>B123+B127</f>
        <v>27.59</v>
      </c>
      <c r="C128" s="55">
        <f>C123+C127</f>
        <v>0.0</v>
      </c>
      <c r="D128" s="55">
        <f>D123+D127</f>
        <v>0.0</v>
      </c>
      <c r="E128" s="55">
        <f>E123+E127</f>
        <v>0.0</v>
      </c>
      <c r="F128" s="55">
        <f>F123+F127</f>
        <v>0.0</v>
      </c>
      <c r="G128" s="54">
        <f>G123+G127</f>
        <v>14.9</v>
      </c>
      <c r="H128" s="55">
        <f>H123+H127</f>
        <v>0.0</v>
      </c>
      <c r="I128" s="55">
        <f>I123+I127</f>
        <v>0.0</v>
      </c>
      <c r="J128" s="54">
        <f>J123+J127</f>
        <v>15.02</v>
      </c>
      <c r="K128" s="55">
        <f>K123+K127</f>
        <v>0.0</v>
      </c>
      <c r="L128" s="55">
        <f>L123+L127</f>
        <v>0.0</v>
      </c>
      <c r="M128" s="55">
        <f>M123+M127</f>
        <v>0.0</v>
      </c>
      <c r="N128" s="55">
        <f>N123+N127</f>
        <v>0.0</v>
      </c>
      <c r="O128" s="54">
        <f>O123+O127</f>
        <v>16.98</v>
      </c>
      <c r="P128" s="55">
        <f>P123+P127</f>
        <v>0.0</v>
      </c>
      <c r="Q128" s="54">
        <f>Q123+Q127</f>
        <v>11613.05</v>
      </c>
      <c r="R128" s="55">
        <f>R123+R127</f>
        <v>0.0</v>
      </c>
      <c r="S128" s="54">
        <f>S123+S127</f>
        <v>17.14</v>
      </c>
      <c r="T128" s="55">
        <f>T123+T127</f>
        <v>0.0</v>
      </c>
      <c r="U128" s="55">
        <f>U123+U127</f>
        <v>0.0</v>
      </c>
      <c r="V128" s="55">
        <f>V123+V127</f>
        <v>0.0</v>
      </c>
      <c r="W128" s="55">
        <f>W123+W127</f>
        <v>0.0</v>
      </c>
      <c r="X128" s="54">
        <f>X123+X127</f>
        <v>12.38</v>
      </c>
      <c r="Y128" s="55">
        <f>Y123+Y127</f>
        <v>0.0</v>
      </c>
      <c r="Z128" s="55">
        <f>Z123+Z127</f>
        <v>0.0</v>
      </c>
      <c r="AA128" s="55">
        <f>AA123+AA127</f>
        <v>0.0</v>
      </c>
      <c r="AB128" s="54">
        <f>AB123+AB127</f>
        <v>6.64</v>
      </c>
      <c r="AC128" s="55">
        <f>AC123+AC127</f>
        <v>0.0</v>
      </c>
      <c r="AD128" s="55">
        <f>AD123+AD127</f>
        <v>0.0</v>
      </c>
      <c r="AE128" s="55">
        <f>AE123+AE127</f>
        <v>0.0</v>
      </c>
      <c r="AF128" s="54">
        <f>AF123+AF127</f>
        <v>7.48</v>
      </c>
      <c r="AG128" s="55">
        <f>AG123+AG127</f>
        <v>0.0</v>
      </c>
      <c r="AH128" s="55">
        <f>AH123+AH127</f>
        <v>0.0</v>
      </c>
      <c r="AI128" s="55">
        <f>AI123+AI127</f>
        <v>0.0</v>
      </c>
      <c r="AJ128" s="55">
        <f>AJ123+AJ127</f>
        <v>0.0</v>
      </c>
      <c r="AK128" s="55">
        <f>AK123+AK127</f>
        <v>0.0</v>
      </c>
      <c r="AL128" s="55">
        <f>B128+C128+D128+E128+F128+G128+H128+I128+J128+K128+L128+M128+N128+O128+P128+Q128+R128+S128+T128+U128+V128+W128+X128+Y128+Z128+AA128+AB128+AC128+AD128+AE128+AF128+AG128+AH128+AI128+AJ128+AK128</f>
        <v>11731.179999999997</v>
      </c>
    </row>
    <row r="129" spans="1:37" ht="16">
      <c r="A129" s="40" t="s">
        <v>126</v>
      </c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</row>
    <row r="130" spans="1:38" ht="16">
      <c r="A130" s="41" t="s">
        <v>127</v>
      </c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</row>
    <row r="131" spans="1:38" ht="16">
      <c r="A131" s="42" t="s">
        <v>128</v>
      </c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</row>
    <row r="132" spans="1:38" ht="16">
      <c r="A132" s="43" t="s">
        <v>129</v>
      </c>
      <c r="B132" s="52"/>
      <c r="C132" s="52"/>
      <c r="D132" s="53">
        <v>4230.77</v>
      </c>
      <c r="E132" s="52"/>
      <c r="F132" s="53">
        <v>4230.77</v>
      </c>
      <c r="G132" s="52"/>
      <c r="H132" s="53">
        <v>4230.77</v>
      </c>
      <c r="I132" s="52"/>
      <c r="J132" s="53">
        <v>4230.77</v>
      </c>
      <c r="K132" s="57">
        <v>0</v>
      </c>
      <c r="L132" s="53">
        <v>4230.77</v>
      </c>
      <c r="M132" s="53">
        <v>197.37</v>
      </c>
      <c r="N132" s="53">
        <v>4230.77</v>
      </c>
      <c r="O132" s="52"/>
      <c r="P132" s="53">
        <v>4230.77</v>
      </c>
      <c r="Q132" s="52"/>
      <c r="R132" s="53">
        <v>4160.11</v>
      </c>
      <c r="S132" s="52"/>
      <c r="T132" s="53">
        <v>4230.77</v>
      </c>
      <c r="U132" s="52"/>
      <c r="V132" s="53">
        <v>4230.77</v>
      </c>
      <c r="W132" s="52"/>
      <c r="X132" s="53">
        <v>4230.77</v>
      </c>
      <c r="Y132" s="52"/>
      <c r="Z132" s="53">
        <v>4830.77</v>
      </c>
      <c r="AA132" s="57">
        <v>0</v>
      </c>
      <c r="AB132" s="53">
        <v>4230.77</v>
      </c>
      <c r="AC132" s="52"/>
      <c r="AD132" s="53">
        <v>5355.77</v>
      </c>
      <c r="AE132" s="52"/>
      <c r="AF132" s="53">
        <v>4230.77</v>
      </c>
      <c r="AG132" s="52"/>
      <c r="AH132" s="53">
        <v>4230.77</v>
      </c>
      <c r="AI132" s="52"/>
      <c r="AJ132" s="53">
        <v>3030.77</v>
      </c>
      <c r="AK132" s="52"/>
      <c r="AL132" s="53">
        <f>B132+C132+D132+E132+F132+G132+H132+I132+J132+K132+L132+M132+N132+O132+P132+Q132+R132+S132+T132+U132+V132+W132+X132+Y132+Z132+AA132+AB132+AC132+AD132+AE132+AF132+AG132+AH132+AI132+AJ132+AK132</f>
        <v>72574.80000000003</v>
      </c>
    </row>
    <row r="133" spans="1:38" ht="16">
      <c r="A133" s="43" t="s">
        <v>130</v>
      </c>
      <c r="B133" s="52"/>
      <c r="C133" s="52"/>
      <c r="D133" s="53">
        <v>332.97</v>
      </c>
      <c r="E133" s="52"/>
      <c r="F133" s="53">
        <v>304.72</v>
      </c>
      <c r="G133" s="52"/>
      <c r="H133" s="53">
        <v>300.71</v>
      </c>
      <c r="I133" s="52"/>
      <c r="J133" s="53">
        <v>300.71</v>
      </c>
      <c r="K133" s="57">
        <v>0</v>
      </c>
      <c r="L133" s="53">
        <v>300.71</v>
      </c>
      <c r="M133" s="57">
        <v>0</v>
      </c>
      <c r="N133" s="53">
        <v>300.71</v>
      </c>
      <c r="O133" s="52"/>
      <c r="P133" s="53">
        <v>300.71</v>
      </c>
      <c r="Q133" s="52"/>
      <c r="R133" s="53">
        <v>300.71</v>
      </c>
      <c r="S133" s="52"/>
      <c r="T133" s="53">
        <v>300.71</v>
      </c>
      <c r="U133" s="52"/>
      <c r="V133" s="53">
        <v>300.71</v>
      </c>
      <c r="W133" s="52"/>
      <c r="X133" s="53">
        <v>300.71</v>
      </c>
      <c r="Y133" s="52"/>
      <c r="Z133" s="53">
        <v>300.71</v>
      </c>
      <c r="AA133" s="57">
        <v>0</v>
      </c>
      <c r="AB133" s="53">
        <v>300.71</v>
      </c>
      <c r="AC133" s="52"/>
      <c r="AD133" s="53">
        <v>300.71</v>
      </c>
      <c r="AE133" s="52"/>
      <c r="AF133" s="53">
        <v>300.71</v>
      </c>
      <c r="AG133" s="52"/>
      <c r="AH133" s="53">
        <v>300.71</v>
      </c>
      <c r="AI133" s="52"/>
      <c r="AJ133" s="53">
        <v>208.91</v>
      </c>
      <c r="AK133" s="52"/>
      <c r="AL133" s="53">
        <f>B133+C133+D133+E133+F133+G133+H133+I133+J133+K133+L133+M133+N133+O133+P133+Q133+R133+S133+T133+U133+V133+W133+X133+Y133+Z133+AA133+AB133+AC133+AD133+AE133+AF133+AG133+AH133+AI133+AJ133+AK133</f>
        <v>5056.54</v>
      </c>
    </row>
    <row r="134" spans="1:38" ht="16">
      <c r="A134" s="43" t="s">
        <v>131</v>
      </c>
      <c r="B134" s="52"/>
      <c r="C134" s="52"/>
      <c r="D134" s="52"/>
      <c r="E134" s="53">
        <v>36.58</v>
      </c>
      <c r="F134" s="52"/>
      <c r="G134" s="52"/>
      <c r="H134" s="52"/>
      <c r="I134" s="53">
        <v>36.58</v>
      </c>
      <c r="J134" s="52"/>
      <c r="K134" s="52"/>
      <c r="L134" s="52"/>
      <c r="M134" s="53">
        <v>36.58</v>
      </c>
      <c r="N134" s="52"/>
      <c r="O134" s="52"/>
      <c r="P134" s="52"/>
      <c r="Q134" s="53">
        <v>36.58</v>
      </c>
      <c r="R134" s="52"/>
      <c r="S134" s="52"/>
      <c r="T134" s="52"/>
      <c r="U134" s="52"/>
      <c r="V134" s="52"/>
      <c r="W134" s="52"/>
      <c r="X134" s="52"/>
      <c r="Y134" s="52"/>
      <c r="Z134" s="53">
        <v>36.58</v>
      </c>
      <c r="AA134" s="52"/>
      <c r="AB134" s="52"/>
      <c r="AC134" s="52"/>
      <c r="AD134" s="53">
        <v>36.58</v>
      </c>
      <c r="AE134" s="52"/>
      <c r="AF134" s="52"/>
      <c r="AG134" s="52"/>
      <c r="AH134" s="52"/>
      <c r="AI134" s="53">
        <v>36.58</v>
      </c>
      <c r="AJ134" s="52"/>
      <c r="AK134" s="52"/>
      <c r="AL134" s="53">
        <f>B134+C134+D134+E134+F134+G134+H134+I134+J134+K134+L134+M134+N134+O134+P134+Q134+R134+S134+T134+U134+V134+W134+X134+Y134+Z134+AA134+AB134+AC134+AD134+AE134+AF134+AG134+AH134+AI134+AJ134+AK134</f>
        <v>256.05999999999995</v>
      </c>
    </row>
    <row r="135" spans="1:38" ht="16">
      <c r="A135" s="44" t="s">
        <v>132</v>
      </c>
      <c r="B135" s="55">
        <f>B131+B132+B133+B134</f>
        <v>0.0</v>
      </c>
      <c r="C135" s="55">
        <f>C131+C132+C133+C134</f>
        <v>0.0</v>
      </c>
      <c r="D135" s="54">
        <f>D131+D132+D133+D134</f>
        <v>4563.740000000001</v>
      </c>
      <c r="E135" s="54">
        <f>E131+E132+E133+E134</f>
        <v>36.58</v>
      </c>
      <c r="F135" s="54">
        <f>F131+F132+F133+F134</f>
        <v>4535.490000000001</v>
      </c>
      <c r="G135" s="55">
        <f>G131+G132+G133+G134</f>
        <v>0.0</v>
      </c>
      <c r="H135" s="54">
        <f>H131+H132+H133+H134</f>
        <v>4531.4800000000005</v>
      </c>
      <c r="I135" s="54">
        <f>I131+I132+I133+I134</f>
        <v>36.58</v>
      </c>
      <c r="J135" s="54">
        <f>J131+J132+J133+J134</f>
        <v>4531.4800000000005</v>
      </c>
      <c r="K135" s="55">
        <f>K131+K132+K133+K134</f>
        <v>0.0</v>
      </c>
      <c r="L135" s="54">
        <f>L131+L132+L133+L134</f>
        <v>4531.4800000000005</v>
      </c>
      <c r="M135" s="54">
        <f>M131+M132+M133+M134</f>
        <v>233.95</v>
      </c>
      <c r="N135" s="54">
        <f>N131+N132+N133+N134</f>
        <v>4531.4800000000005</v>
      </c>
      <c r="O135" s="55">
        <f>O131+O132+O133+O134</f>
        <v>0.0</v>
      </c>
      <c r="P135" s="54">
        <f>P131+P132+P133+P134</f>
        <v>4531.4800000000005</v>
      </c>
      <c r="Q135" s="54">
        <f>Q131+Q132+Q133+Q134</f>
        <v>36.58</v>
      </c>
      <c r="R135" s="54">
        <f>R131+R132+R133+R134</f>
        <v>4460.82</v>
      </c>
      <c r="S135" s="55">
        <f>S131+S132+S133+S134</f>
        <v>0.0</v>
      </c>
      <c r="T135" s="54">
        <f>T131+T132+T133+T134</f>
        <v>4531.4800000000005</v>
      </c>
      <c r="U135" s="55">
        <f>U131+U132+U133+U134</f>
        <v>0.0</v>
      </c>
      <c r="V135" s="54">
        <f>V131+V132+V133+V134</f>
        <v>4531.4800000000005</v>
      </c>
      <c r="W135" s="55">
        <f>W131+W132+W133+W134</f>
        <v>0.0</v>
      </c>
      <c r="X135" s="54">
        <f>X131+X132+X133+X134</f>
        <v>4531.4800000000005</v>
      </c>
      <c r="Y135" s="55">
        <f>Y131+Y132+Y133+Y134</f>
        <v>0.0</v>
      </c>
      <c r="Z135" s="54">
        <f>Z131+Z132+Z133+Z134</f>
        <v>5168.06</v>
      </c>
      <c r="AA135" s="55">
        <f>AA131+AA132+AA133+AA134</f>
        <v>0.0</v>
      </c>
      <c r="AB135" s="54">
        <f>AB131+AB132+AB133+AB134</f>
        <v>4531.4800000000005</v>
      </c>
      <c r="AC135" s="55">
        <f>AC131+AC132+AC133+AC134</f>
        <v>0.0</v>
      </c>
      <c r="AD135" s="54">
        <f>AD131+AD132+AD133+AD134</f>
        <v>5693.06</v>
      </c>
      <c r="AE135" s="55">
        <f>AE131+AE132+AE133+AE134</f>
        <v>0.0</v>
      </c>
      <c r="AF135" s="54">
        <f>AF131+AF132+AF133+AF134</f>
        <v>4531.4800000000005</v>
      </c>
      <c r="AG135" s="55">
        <f>AG131+AG132+AG133+AG134</f>
        <v>0.0</v>
      </c>
      <c r="AH135" s="54">
        <f>AH131+AH132+AH133+AH134</f>
        <v>4531.4800000000005</v>
      </c>
      <c r="AI135" s="54">
        <f>AI131+AI132+AI133+AI134</f>
        <v>36.58</v>
      </c>
      <c r="AJ135" s="54">
        <f>AJ131+AJ132+AJ133+AJ134</f>
        <v>3239.68</v>
      </c>
      <c r="AK135" s="55">
        <f>AK131+AK132+AK133+AK134</f>
        <v>0.0</v>
      </c>
      <c r="AL135" s="55">
        <f>B135+C135+D135+E135+F135+G135+H135+I135+J135+K135+L135+M135+N135+O135+P135+Q135+R135+S135+T135+U135+V135+W135+X135+Y135+Z135+AA135+AB135+AC135+AD135+AE135+AF135+AG135+AH135+AI135+AJ135+AK135</f>
        <v>77887.4</v>
      </c>
    </row>
    <row r="136" spans="1:38" ht="16">
      <c r="A136" s="42" t="s">
        <v>133</v>
      </c>
      <c r="B136" s="53">
        <v>6026.81</v>
      </c>
      <c r="C136" s="53">
        <v>8503.26</v>
      </c>
      <c r="D136" s="52"/>
      <c r="E136" s="52"/>
      <c r="F136" s="52"/>
      <c r="G136" s="53">
        <v>13977.29</v>
      </c>
      <c r="H136" s="52"/>
      <c r="I136" s="52"/>
      <c r="J136" s="53">
        <v>6037.08</v>
      </c>
      <c r="K136" s="53">
        <v>5116.48</v>
      </c>
      <c r="L136" s="53">
        <v>1731.32</v>
      </c>
      <c r="M136" s="52"/>
      <c r="N136" s="52"/>
      <c r="O136" s="53">
        <v>12289.11</v>
      </c>
      <c r="P136" s="53">
        <v>1678.78</v>
      </c>
      <c r="Q136" s="52"/>
      <c r="R136" s="52"/>
      <c r="S136" s="53">
        <v>6427.2</v>
      </c>
      <c r="T136" s="53">
        <v>6935.13</v>
      </c>
      <c r="U136" s="52"/>
      <c r="V136" s="52"/>
      <c r="W136" s="52"/>
      <c r="X136" s="53">
        <v>12363.3</v>
      </c>
      <c r="Y136" s="53">
        <v>1930.86</v>
      </c>
      <c r="Z136" s="52"/>
      <c r="AA136" s="52"/>
      <c r="AB136" s="53">
        <v>11742.95</v>
      </c>
      <c r="AC136" s="53">
        <v>1922.11</v>
      </c>
      <c r="AD136" s="52"/>
      <c r="AE136" s="52"/>
      <c r="AF136" s="52"/>
      <c r="AG136" s="53">
        <v>13647.96</v>
      </c>
      <c r="AH136" s="52"/>
      <c r="AI136" s="52"/>
      <c r="AJ136" s="52"/>
      <c r="AK136" s="52"/>
      <c r="AL136" s="53">
        <f>B136+C136+D136+E136+F136+G136+H136+I136+J136+K136+L136+M136+N136+O136+P136+Q136+R136+S136+T136+U136+V136+W136+X136+Y136+Z136+AA136+AB136+AC136+AD136+AE136+AF136+AG136+AH136+AI136+AJ136+AK136</f>
        <v>110329.63999999998</v>
      </c>
    </row>
    <row r="137" spans="1:38" ht="16">
      <c r="A137" s="47" t="s">
        <v>134</v>
      </c>
      <c r="B137" s="54">
        <f>B130+B135+B136</f>
        <v>6026.81</v>
      </c>
      <c r="C137" s="54">
        <f>C130+C135+C136</f>
        <v>8503.26</v>
      </c>
      <c r="D137" s="54">
        <f>D130+D135+D136</f>
        <v>4563.740000000001</v>
      </c>
      <c r="E137" s="54">
        <f>E130+E135+E136</f>
        <v>36.58</v>
      </c>
      <c r="F137" s="54">
        <f>F130+F135+F136</f>
        <v>4535.490000000001</v>
      </c>
      <c r="G137" s="54">
        <f>G130+G135+G136</f>
        <v>13977.29</v>
      </c>
      <c r="H137" s="54">
        <f>H130+H135+H136</f>
        <v>4531.4800000000005</v>
      </c>
      <c r="I137" s="54">
        <f>I130+I135+I136</f>
        <v>36.58</v>
      </c>
      <c r="J137" s="54">
        <f>J130+J135+J136</f>
        <v>10568.560000000001</v>
      </c>
      <c r="K137" s="54">
        <f>K130+K135+K136</f>
        <v>5116.48</v>
      </c>
      <c r="L137" s="54">
        <f>L130+L135+L136</f>
        <v>6262.8</v>
      </c>
      <c r="M137" s="54">
        <f>M130+M135+M136</f>
        <v>233.95</v>
      </c>
      <c r="N137" s="54">
        <f>N130+N135+N136</f>
        <v>4531.4800000000005</v>
      </c>
      <c r="O137" s="54">
        <f>O130+O135+O136</f>
        <v>12289.11</v>
      </c>
      <c r="P137" s="54">
        <f>P130+P135+P136</f>
        <v>6210.26</v>
      </c>
      <c r="Q137" s="54">
        <f>Q130+Q135+Q136</f>
        <v>36.58</v>
      </c>
      <c r="R137" s="54">
        <f>R130+R135+R136</f>
        <v>4460.82</v>
      </c>
      <c r="S137" s="54">
        <f>S130+S135+S136</f>
        <v>6427.2</v>
      </c>
      <c r="T137" s="54">
        <f>T130+T135+T136</f>
        <v>11466.61</v>
      </c>
      <c r="U137" s="55">
        <f>U130+U135+U136</f>
        <v>0.0</v>
      </c>
      <c r="V137" s="54">
        <f>V130+V135+V136</f>
        <v>4531.4800000000005</v>
      </c>
      <c r="W137" s="55">
        <f>W130+W135+W136</f>
        <v>0.0</v>
      </c>
      <c r="X137" s="54">
        <f>X130+X135+X136</f>
        <v>16894.78</v>
      </c>
      <c r="Y137" s="54">
        <f>Y130+Y135+Y136</f>
        <v>1930.86</v>
      </c>
      <c r="Z137" s="54">
        <f>Z130+Z135+Z136</f>
        <v>5168.06</v>
      </c>
      <c r="AA137" s="55">
        <f>AA130+AA135+AA136</f>
        <v>0.0</v>
      </c>
      <c r="AB137" s="54">
        <f>AB130+AB135+AB136</f>
        <v>16274.43</v>
      </c>
      <c r="AC137" s="54">
        <f>AC130+AC135+AC136</f>
        <v>1922.11</v>
      </c>
      <c r="AD137" s="54">
        <f>AD130+AD135+AD136</f>
        <v>5693.06</v>
      </c>
      <c r="AE137" s="55">
        <f>AE130+AE135+AE136</f>
        <v>0.0</v>
      </c>
      <c r="AF137" s="54">
        <f>AF130+AF135+AF136</f>
        <v>4531.4800000000005</v>
      </c>
      <c r="AG137" s="54">
        <f>AG130+AG135+AG136</f>
        <v>13647.96</v>
      </c>
      <c r="AH137" s="54">
        <f>AH130+AH135+AH136</f>
        <v>4531.4800000000005</v>
      </c>
      <c r="AI137" s="54">
        <f>AI130+AI135+AI136</f>
        <v>36.58</v>
      </c>
      <c r="AJ137" s="54">
        <f>AJ130+AJ135+AJ136</f>
        <v>3239.68</v>
      </c>
      <c r="AK137" s="55">
        <f>AK130+AK135+AK136</f>
        <v>0.0</v>
      </c>
      <c r="AL137" s="55">
        <f>B137+C137+D137+E137+F137+G137+H137+I137+J137+K137+L137+M137+N137+O137+P137+Q137+R137+S137+T137+U137+V137+W137+X137+Y137+Z137+AA137+AB137+AC137+AD137+AE137+AF137+AG137+AH137+AI137+AJ137+AK137</f>
        <v>188217.03999999992</v>
      </c>
    </row>
    <row r="138" spans="1:38" ht="16">
      <c r="A138" s="48" t="s">
        <v>135</v>
      </c>
      <c r="B138" s="54">
        <f>B129+B137</f>
        <v>6026.81</v>
      </c>
      <c r="C138" s="54">
        <f>C129+C137</f>
        <v>8503.26</v>
      </c>
      <c r="D138" s="54">
        <f>D129+D137</f>
        <v>4563.740000000001</v>
      </c>
      <c r="E138" s="54">
        <f>E129+E137</f>
        <v>36.58</v>
      </c>
      <c r="F138" s="54">
        <f>F129+F137</f>
        <v>4535.490000000001</v>
      </c>
      <c r="G138" s="54">
        <f>G129+G137</f>
        <v>13977.29</v>
      </c>
      <c r="H138" s="54">
        <f>H129+H137</f>
        <v>4531.4800000000005</v>
      </c>
      <c r="I138" s="54">
        <f>I129+I137</f>
        <v>36.58</v>
      </c>
      <c r="J138" s="54">
        <f>J129+J137</f>
        <v>10568.560000000001</v>
      </c>
      <c r="K138" s="54">
        <f>K129+K137</f>
        <v>5116.48</v>
      </c>
      <c r="L138" s="54">
        <f>L129+L137</f>
        <v>6262.8</v>
      </c>
      <c r="M138" s="54">
        <f>M129+M137</f>
        <v>233.95</v>
      </c>
      <c r="N138" s="54">
        <f>N129+N137</f>
        <v>4531.4800000000005</v>
      </c>
      <c r="O138" s="54">
        <f>O129+O137</f>
        <v>12289.11</v>
      </c>
      <c r="P138" s="54">
        <f>P129+P137</f>
        <v>6210.26</v>
      </c>
      <c r="Q138" s="54">
        <f>Q129+Q137</f>
        <v>36.58</v>
      </c>
      <c r="R138" s="54">
        <f>R129+R137</f>
        <v>4460.82</v>
      </c>
      <c r="S138" s="54">
        <f>S129+S137</f>
        <v>6427.2</v>
      </c>
      <c r="T138" s="54">
        <f>T129+T137</f>
        <v>11466.61</v>
      </c>
      <c r="U138" s="55">
        <f>U129+U137</f>
        <v>0.0</v>
      </c>
      <c r="V138" s="54">
        <f>V129+V137</f>
        <v>4531.4800000000005</v>
      </c>
      <c r="W138" s="55">
        <f>W129+W137</f>
        <v>0.0</v>
      </c>
      <c r="X138" s="54">
        <f>X129+X137</f>
        <v>16894.78</v>
      </c>
      <c r="Y138" s="54">
        <f>Y129+Y137</f>
        <v>1930.86</v>
      </c>
      <c r="Z138" s="54">
        <f>Z129+Z137</f>
        <v>5168.06</v>
      </c>
      <c r="AA138" s="55">
        <f>AA129+AA137</f>
        <v>0.0</v>
      </c>
      <c r="AB138" s="54">
        <f>AB129+AB137</f>
        <v>16274.43</v>
      </c>
      <c r="AC138" s="54">
        <f>AC129+AC137</f>
        <v>1922.11</v>
      </c>
      <c r="AD138" s="54">
        <f>AD129+AD137</f>
        <v>5693.06</v>
      </c>
      <c r="AE138" s="55">
        <f>AE129+AE137</f>
        <v>0.0</v>
      </c>
      <c r="AF138" s="54">
        <f>AF129+AF137</f>
        <v>4531.4800000000005</v>
      </c>
      <c r="AG138" s="54">
        <f>AG129+AG137</f>
        <v>13647.96</v>
      </c>
      <c r="AH138" s="54">
        <f>AH129+AH137</f>
        <v>4531.4800000000005</v>
      </c>
      <c r="AI138" s="54">
        <f>AI129+AI137</f>
        <v>36.58</v>
      </c>
      <c r="AJ138" s="54">
        <f>AJ129+AJ137</f>
        <v>3239.68</v>
      </c>
      <c r="AK138" s="55">
        <f>AK129+AK137</f>
        <v>0.0</v>
      </c>
      <c r="AL138" s="55">
        <f>B138+C138+D138+E138+F138+G138+H138+I138+J138+K138+L138+M138+N138+O138+P138+Q138+R138+S138+T138+U138+V138+W138+X138+Y138+Z138+AA138+AB138+AC138+AD138+AE138+AF138+AG138+AH138+AI138+AJ138+AK138</f>
        <v>188217.03999999992</v>
      </c>
    </row>
    <row r="139" spans="1:38" ht="16">
      <c r="A139" s="48" t="s">
        <v>136</v>
      </c>
      <c r="B139" s="54">
        <f>B128-B138</f>
        <v>-5999.22</v>
      </c>
      <c r="C139" s="54">
        <f>C128-C138</f>
        <v>-8503.26</v>
      </c>
      <c r="D139" s="54">
        <f>D128-D138</f>
        <v>-4563.740000000001</v>
      </c>
      <c r="E139" s="54">
        <f>E128-E138</f>
        <v>-36.58</v>
      </c>
      <c r="F139" s="54">
        <f>F128-F138</f>
        <v>-4535.490000000001</v>
      </c>
      <c r="G139" s="54">
        <f>G128-G138</f>
        <v>-13962.390000000001</v>
      </c>
      <c r="H139" s="54">
        <f>H128-H138</f>
        <v>-4531.4800000000005</v>
      </c>
      <c r="I139" s="54">
        <f>I128-I138</f>
        <v>-36.58</v>
      </c>
      <c r="J139" s="54">
        <f>J128-J138</f>
        <v>-10553.54</v>
      </c>
      <c r="K139" s="54">
        <f>K128-K138</f>
        <v>-5116.48</v>
      </c>
      <c r="L139" s="54">
        <f>L128-L138</f>
        <v>-6262.8</v>
      </c>
      <c r="M139" s="54">
        <f>M128-M138</f>
        <v>-233.95</v>
      </c>
      <c r="N139" s="54">
        <f>N128-N138</f>
        <v>-4531.4800000000005</v>
      </c>
      <c r="O139" s="54">
        <f>O128-O138</f>
        <v>-12272.130000000001</v>
      </c>
      <c r="P139" s="54">
        <f>P128-P138</f>
        <v>-6210.26</v>
      </c>
      <c r="Q139" s="54">
        <f>Q128-Q138</f>
        <v>11576.47</v>
      </c>
      <c r="R139" s="54">
        <f>R128-R138</f>
        <v>-4460.82</v>
      </c>
      <c r="S139" s="54">
        <f>S128-S138</f>
        <v>-6410.0599999999995</v>
      </c>
      <c r="T139" s="54">
        <f>T128-T138</f>
        <v>-11466.61</v>
      </c>
      <c r="U139" s="55">
        <f>U128-U138</f>
        <v>0.0</v>
      </c>
      <c r="V139" s="54">
        <f>V128-V138</f>
        <v>-4531.4800000000005</v>
      </c>
      <c r="W139" s="55">
        <f>W128-W138</f>
        <v>0.0</v>
      </c>
      <c r="X139" s="54">
        <f>X128-X138</f>
        <v>-16882.399999999998</v>
      </c>
      <c r="Y139" s="54">
        <f>Y128-Y138</f>
        <v>-1930.86</v>
      </c>
      <c r="Z139" s="54">
        <f>Z128-Z138</f>
        <v>-5168.06</v>
      </c>
      <c r="AA139" s="55">
        <f>AA128-AA138</f>
        <v>0.0</v>
      </c>
      <c r="AB139" s="54">
        <f>AB128-AB138</f>
        <v>-16267.79</v>
      </c>
      <c r="AC139" s="54">
        <f>AC128-AC138</f>
        <v>-1922.11</v>
      </c>
      <c r="AD139" s="54">
        <f>AD128-AD138</f>
        <v>-5693.06</v>
      </c>
      <c r="AE139" s="55">
        <f>AE128-AE138</f>
        <v>0.0</v>
      </c>
      <c r="AF139" s="54">
        <f>AF128-AF138</f>
        <v>-4524.000000000001</v>
      </c>
      <c r="AG139" s="54">
        <f>AG128-AG138</f>
        <v>-13647.96</v>
      </c>
      <c r="AH139" s="54">
        <f>AH128-AH138</f>
        <v>-4531.4800000000005</v>
      </c>
      <c r="AI139" s="54">
        <f>AI128-AI138</f>
        <v>-36.58</v>
      </c>
      <c r="AJ139" s="54">
        <f>AJ128-AJ138</f>
        <v>-3239.68</v>
      </c>
      <c r="AK139" s="55">
        <f>AK128-AK138</f>
        <v>0.0</v>
      </c>
      <c r="AL139" s="55">
        <f>B139+C139+D139+E139+F139+G139+H139+I139+J139+K139+L139+M139+N139+O139+P139+Q139+R139+S139+T139+U139+V139+W139+X139+Y139+Z139+AA139+AB139+AC139+AD139+AE139+AF139+AG139+AH139+AI139+AJ139+AK139</f>
        <v>-176485.85999999996</v>
      </c>
    </row>
    <row r="140" spans="1:38" ht="16">
      <c r="A140" s="48" t="s">
        <v>137</v>
      </c>
      <c r="B140" s="54">
        <f>B122+B139</f>
        <v>-1646.4299999999994</v>
      </c>
      <c r="C140" s="54">
        <f>C122+C139</f>
        <v>2584.3899999999994</v>
      </c>
      <c r="D140" s="54">
        <f>D122+D139</f>
        <v>-8703.100000000002</v>
      </c>
      <c r="E140" s="54">
        <f>E122+E139</f>
        <v>21669.979999999996</v>
      </c>
      <c r="F140" s="54">
        <f>F122+F139</f>
        <v>-12658.339999999997</v>
      </c>
      <c r="G140" s="54">
        <f>G122+G139</f>
        <v>9679.069999999994</v>
      </c>
      <c r="H140" s="54">
        <f>H122+H139</f>
        <v>-2977.5800000000013</v>
      </c>
      <c r="I140" s="54">
        <f>I122+I139</f>
        <v>13714.859999999999</v>
      </c>
      <c r="J140" s="54">
        <f>J122+J139</f>
        <v>-13170.16</v>
      </c>
      <c r="K140" s="54">
        <f>K122+K139</f>
        <v>21044.249999999996</v>
      </c>
      <c r="L140" s="54">
        <f>L122+L139</f>
        <v>-11072.140000000003</v>
      </c>
      <c r="M140" s="54">
        <f>M122+M139</f>
        <v>15687.16</v>
      </c>
      <c r="N140" s="54">
        <f>N122+N139</f>
        <v>-12131.310000000003</v>
      </c>
      <c r="O140" s="54">
        <f>O122+O139</f>
        <v>-4966.919999999998</v>
      </c>
      <c r="P140" s="54">
        <f>P122+P139</f>
        <v>-4989.189999999998</v>
      </c>
      <c r="Q140" s="54">
        <f>Q122+Q139</f>
        <v>18001.629999999997</v>
      </c>
      <c r="R140" s="54">
        <f>R122+R139</f>
        <v>-15417.159999999996</v>
      </c>
      <c r="S140" s="54">
        <f>S122+S139</f>
        <v>10635.210000000001</v>
      </c>
      <c r="T140" s="54">
        <f>T122+T139</f>
        <v>-23019.320000000003</v>
      </c>
      <c r="U140" s="54">
        <f>U122+U139</f>
        <v>7011.230000000001</v>
      </c>
      <c r="V140" s="54">
        <f>V122+V139</f>
        <v>-12234.249999999996</v>
      </c>
      <c r="W140" s="54">
        <f>W122+W139</f>
        <v>26613.48</v>
      </c>
      <c r="X140" s="54">
        <f>X122+X139</f>
        <v>-28367.820000000003</v>
      </c>
      <c r="Y140" s="54">
        <f>Y122+Y139</f>
        <v>19266.6</v>
      </c>
      <c r="Z140" s="54">
        <f>Z122+Z139</f>
        <v>1923.3399999999947</v>
      </c>
      <c r="AA140" s="54">
        <f>AA122+AA139</f>
        <v>16827.2</v>
      </c>
      <c r="AB140" s="54">
        <f>AB122+AB139</f>
        <v>-13384.970000000001</v>
      </c>
      <c r="AC140" s="54">
        <f>AC122+AC139</f>
        <v>10025.239999999998</v>
      </c>
      <c r="AD140" s="54">
        <f>AD122+AD139</f>
        <v>-14499.150000000001</v>
      </c>
      <c r="AE140" s="54">
        <f>AE122+AE139</f>
        <v>16302.400000000001</v>
      </c>
      <c r="AF140" s="54">
        <f>AF122+AF139</f>
        <v>-26619.39</v>
      </c>
      <c r="AG140" s="54">
        <f>AG122+AG139</f>
        <v>8525.580000000002</v>
      </c>
      <c r="AH140" s="54">
        <f>AH122+AH139</f>
        <v>-5453.080000000003</v>
      </c>
      <c r="AI140" s="54">
        <f>AI122+AI139</f>
        <v>24888.42</v>
      </c>
      <c r="AJ140" s="54">
        <f>AJ122+AJ139</f>
        <v>-10482.990000000005</v>
      </c>
      <c r="AK140" s="54">
        <f>AK122+AK139</f>
        <v>9509.09</v>
      </c>
      <c r="AL140" s="55">
        <f>B140+C140+D140+E140+F140+G140+H140+I140+J140+K140+L140+M140+N140+O140+P140+Q140+R140+S140+T140+U140+V140+W140+X140+Y140+Z140+AA140+AB140+AC140+AD140+AE140+AF140+AG140+AH140+AI140+AJ140+AK140</f>
        <v>32115.829999999954</v>
      </c>
    </row>
    <row r="144" spans="1:1" ht="16">
      <c r="A144" s="58" t="s">
        <v>176</v>
      </c>
    </row>
  </sheetData>
  <mergeCells count="4">
    <mergeCell ref="A1:AL1"/>
    <mergeCell ref="A2:AL2"/>
    <mergeCell ref="A3:AL3"/>
    <mergeCell ref="A144:AL14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